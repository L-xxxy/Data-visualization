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drawings/drawing1.xml" ContentType="application/vnd.openxmlformats-officedocument.drawing+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sharedStrings.xml" ContentType="application/vnd.openxmlformats-officedocument.spreadsheetml.sharedString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s/slicer1.xml" ContentType="application/vnd.ms-excel.slicer+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hidePivotFieldList="1"/>
  <bookViews>
    <workbookView windowWidth="19190" windowHeight="7600" activeTab="3"/>
  </bookViews>
  <sheets>
    <sheet name="源数据" sheetId="1" r:id="rId1"/>
    <sheet name="数据" sheetId="2" r:id="rId2"/>
    <sheet name="透视表" sheetId="7" r:id="rId3"/>
    <sheet name="可视化" sheetId="4" r:id="rId4"/>
  </sheets>
  <definedNames>
    <definedName name="切片器_年">#N/A</definedName>
    <definedName name="切片器_月">#N/A</definedName>
    <definedName name="切片器_产品分类">#N/A</definedName>
    <definedName name="切片器_订单状态">#N/A</definedName>
  </definedNames>
  <calcPr calcId="191029"/>
  <pivotCaches>
    <pivotCache cacheId="0" r:id="rId5"/>
  </pivotCaches>
  <extLst>
    <ext xmlns:x14="http://schemas.microsoft.com/office/spreadsheetml/2009/9/main" uri="{BBE1A952-AA13-448e-AADC-164F8A28A991}">
      <x14:slicerCaches>
        <x14:slicerCache r:id="rId9"/>
        <x14:slicerCache r:id="rId8"/>
        <x14:slicerCache r:id="rId7"/>
        <x14:slicerCache r:id="rId6"/>
      </x14: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<sst xmlns="http://schemas.openxmlformats.org/spreadsheetml/2006/main" count="19063" uniqueCount="4397">
  <si>
    <t>交易币种</t>
  </si>
  <si>
    <t>人民币汇率</t>
  </si>
  <si>
    <t>售出日期</t>
  </si>
  <si>
    <t>负责部门</t>
  </si>
  <si>
    <t>平台</t>
  </si>
  <si>
    <t>站点</t>
  </si>
  <si>
    <t>收货国家英文名称</t>
  </si>
  <si>
    <t>收货国家编码</t>
  </si>
  <si>
    <t>卖家用户名</t>
  </si>
  <si>
    <t>部门编号</t>
  </si>
  <si>
    <t>产品大类</t>
  </si>
  <si>
    <t>产品二级分类</t>
  </si>
  <si>
    <t>系统订单号</t>
  </si>
  <si>
    <t>平台订单号</t>
  </si>
  <si>
    <t>SKU</t>
  </si>
  <si>
    <t>产品名称</t>
  </si>
  <si>
    <t>订单总金额</t>
  </si>
  <si>
    <t>订单总金额(兑换后价格)</t>
  </si>
  <si>
    <t>总出售价格</t>
  </si>
  <si>
    <t>总出售价格(兑换后价格)</t>
  </si>
  <si>
    <t>商品平台运费</t>
  </si>
  <si>
    <t>平台交易费</t>
  </si>
  <si>
    <t>平台交易费(兑换后价格)</t>
  </si>
  <si>
    <t>成交费比例</t>
  </si>
  <si>
    <t>成交费</t>
  </si>
  <si>
    <t>成交费(兑换后价格)</t>
  </si>
  <si>
    <t>FBA头程费</t>
  </si>
  <si>
    <t>海外仓头程费</t>
  </si>
  <si>
    <t>SKU拿货价</t>
  </si>
  <si>
    <t>SKU成本</t>
  </si>
  <si>
    <t>折前成本</t>
  </si>
  <si>
    <t>均价成本</t>
  </si>
  <si>
    <t>总物流费</t>
  </si>
  <si>
    <t>备注</t>
  </si>
  <si>
    <t>购买数量</t>
  </si>
  <si>
    <t>卖家发货物流</t>
  </si>
  <si>
    <t>物流公司代码</t>
  </si>
  <si>
    <t>称重重量,单位:g</t>
  </si>
  <si>
    <t>计算重量,单位:g</t>
  </si>
  <si>
    <t>销售员</t>
  </si>
  <si>
    <t>产品开发员</t>
  </si>
  <si>
    <t>提成周期</t>
  </si>
  <si>
    <t>买家Email</t>
  </si>
  <si>
    <t>发货日期</t>
  </si>
  <si>
    <t>产品采购员</t>
  </si>
  <si>
    <t>产品美工</t>
  </si>
  <si>
    <t>跟踪号</t>
  </si>
  <si>
    <t>跟踪号2</t>
  </si>
  <si>
    <t>订单类型</t>
  </si>
  <si>
    <t>产品完成时间</t>
  </si>
  <si>
    <t>订单状态</t>
  </si>
  <si>
    <t>订单头程运费</t>
  </si>
  <si>
    <t>订单尾程运费</t>
  </si>
  <si>
    <t>订单尾程时间</t>
  </si>
  <si>
    <t>付款日期</t>
  </si>
  <si>
    <t>负责主管</t>
  </si>
  <si>
    <t>出库仓库</t>
  </si>
  <si>
    <t>仓库数量</t>
  </si>
  <si>
    <t>仓库加工费</t>
  </si>
  <si>
    <t>仓库处理费</t>
  </si>
  <si>
    <t>物流类型</t>
  </si>
  <si>
    <t>产品销售周期(天)</t>
  </si>
  <si>
    <t>包装费用</t>
  </si>
  <si>
    <t>账号受益人</t>
  </si>
  <si>
    <t>账号受益人主管</t>
  </si>
  <si>
    <t>利润增加</t>
  </si>
  <si>
    <t>PayPal Transaction ID</t>
  </si>
  <si>
    <t>价差</t>
  </si>
  <si>
    <t>开发员主管</t>
  </si>
  <si>
    <t>开发员组长</t>
  </si>
  <si>
    <t>开发员部门</t>
  </si>
  <si>
    <t>受益人管理员工</t>
  </si>
  <si>
    <t>受益人管理主管</t>
  </si>
  <si>
    <t>退款费</t>
  </si>
  <si>
    <t>退款率</t>
  </si>
  <si>
    <t>sku所属部门</t>
  </si>
  <si>
    <t>sku所属部门主管</t>
  </si>
  <si>
    <t>sku打折系数</t>
  </si>
  <si>
    <t>海外仓sku是否难滞销</t>
  </si>
  <si>
    <t>wish补贴</t>
  </si>
  <si>
    <t>平台广告费</t>
  </si>
  <si>
    <t>平台广告费(兑换后价格)</t>
  </si>
  <si>
    <t>物流扣款方式</t>
  </si>
  <si>
    <t>Product ID</t>
  </si>
  <si>
    <t>Product Title</t>
  </si>
  <si>
    <t>SKU归属日期</t>
  </si>
  <si>
    <t>产品类型</t>
  </si>
  <si>
    <t>日报售价</t>
  </si>
  <si>
    <t>服务费</t>
  </si>
  <si>
    <t>基础费</t>
  </si>
  <si>
    <t>利润</t>
  </si>
  <si>
    <t>Item状态</t>
  </si>
  <si>
    <t>Shopee实际运费(原币)</t>
  </si>
  <si>
    <t>Shopee平台订单状态</t>
  </si>
  <si>
    <t>采购主管</t>
  </si>
  <si>
    <t>重量/体积</t>
  </si>
  <si>
    <t>销售记录编号</t>
  </si>
  <si>
    <t>首次出库扫描人</t>
  </si>
  <si>
    <t>是否为SIP子店铺(Shopee)</t>
  </si>
  <si>
    <t>更新前平台运费(Shopee)</t>
  </si>
  <si>
    <t>sku创建日期</t>
  </si>
  <si>
    <t>sku创建完成时间差</t>
  </si>
  <si>
    <t>税</t>
  </si>
  <si>
    <t>税(兑换后价格)</t>
  </si>
  <si>
    <t>salesRecordNumber</t>
  </si>
  <si>
    <t>预设广告费率</t>
  </si>
  <si>
    <t>预设退税金额</t>
  </si>
  <si>
    <t>跟卖受益账号</t>
  </si>
  <si>
    <t>跟卖受益账号部门</t>
  </si>
  <si>
    <t>外部跟卖受益账号</t>
  </si>
  <si>
    <t>VAT比例</t>
  </si>
  <si>
    <t>预设VAT税</t>
  </si>
  <si>
    <t>头程运费均价</t>
  </si>
  <si>
    <t>头程运费</t>
  </si>
  <si>
    <t>订单创建方式</t>
  </si>
  <si>
    <t>收货州省</t>
  </si>
  <si>
    <t>订单创建日期</t>
  </si>
  <si>
    <t>打单时间</t>
  </si>
  <si>
    <t>缺货时间</t>
  </si>
  <si>
    <t>进入待合并时间</t>
  </si>
  <si>
    <t>SKU开发成本</t>
  </si>
  <si>
    <t>是否白名单商品</t>
  </si>
  <si>
    <t>是否白名单账户</t>
  </si>
  <si>
    <t>是否口罩商品</t>
  </si>
  <si>
    <t>是否口罩账户</t>
  </si>
  <si>
    <t>项目分类</t>
  </si>
  <si>
    <t>平台放款费</t>
  </si>
  <si>
    <t>平台放款费(兑换后价格)</t>
  </si>
  <si>
    <t>海外仓最低价</t>
  </si>
  <si>
    <t>海外仓最低价币种</t>
  </si>
  <si>
    <t>产品美工主管</t>
  </si>
  <si>
    <t>产品美工主管工号</t>
  </si>
  <si>
    <t>产品美工组长</t>
  </si>
  <si>
    <t>产品美工组长工号</t>
  </si>
  <si>
    <t>是否提成</t>
  </si>
  <si>
    <t>亚马逊上架时间</t>
  </si>
  <si>
    <t>亚马逊账号分类</t>
  </si>
  <si>
    <t>是否折扣出单</t>
  </si>
  <si>
    <t>经理预设退款率</t>
  </si>
  <si>
    <t>经理预设退款</t>
  </si>
  <si>
    <t>经理利润</t>
  </si>
  <si>
    <t>平台SKU</t>
  </si>
  <si>
    <t>发货方式</t>
  </si>
  <si>
    <t>海外仓SKU滞销类型</t>
  </si>
  <si>
    <t>ZM采购单号</t>
  </si>
  <si>
    <t>MXN</t>
  </si>
  <si>
    <t>0.396939</t>
  </si>
  <si>
    <t>2023-10-24 00:00:00</t>
  </si>
  <si>
    <t>GPMH</t>
  </si>
  <si>
    <t>Walmart</t>
  </si>
  <si>
    <t/>
  </si>
  <si>
    <t>Mexico</t>
  </si>
  <si>
    <t>MX</t>
  </si>
  <si>
    <t>mbyk6437@yeah.net</t>
  </si>
  <si>
    <t>90</t>
  </si>
  <si>
    <t>欧美/大码女装3</t>
  </si>
  <si>
    <t>Women's Sweater Coat 毛衣外套3</t>
  </si>
  <si>
    <t>796137518</t>
  </si>
  <si>
    <t>863236301356</t>
  </si>
  <si>
    <t>WES210828101KHL</t>
  </si>
  <si>
    <t>女士纯色蝙蝠袖针织衫大码毛衣 卡其色 L</t>
  </si>
  <si>
    <t>548</t>
  </si>
  <si>
    <t>0</t>
  </si>
  <si>
    <t>82.2 MXN</t>
  </si>
  <si>
    <t>42.75</t>
  </si>
  <si>
    <t>43.28</t>
  </si>
  <si>
    <t>物流异常原因：地址错误/地址不完整，物流海外反馈派送异常的包裹，请次日18点前提供正确的收件人信息给物流让海外再次派送，或者让收件人直接联系派送商自取，超时包裹会被退回 或被弃件处理，请尽快协助处理，谢谢派送商：墨西哥JT
联系电话：0 800 953 8888  其他方式：通过添加WhatsApp：5573836134 联系客服；当地客服邮箱：arizbeth.nardo@jtexpress.mx 逾期自动完结</t>
  </si>
  <si>
    <t>1</t>
  </si>
  <si>
    <t>云途物流-云途全球专线挂号(特惠普货)(朗易)(989)</t>
  </si>
  <si>
    <t>12</t>
  </si>
  <si>
    <t>362</t>
  </si>
  <si>
    <t>420</t>
  </si>
  <si>
    <t>802249</t>
  </si>
  <si>
    <t>MKT_WES [韦珊珊]</t>
  </si>
  <si>
    <t>2023-11-03 11:45:21</t>
  </si>
  <si>
    <t>PD_Haunganqi [黄安琪]</t>
  </si>
  <si>
    <t>AD_ZHL [赵楚玲]</t>
  </si>
  <si>
    <t>YT2330621272261818</t>
  </si>
  <si>
    <t>2021-08-30 18:22:25</t>
  </si>
  <si>
    <t>已发货</t>
  </si>
  <si>
    <t>陈庚财,</t>
  </si>
  <si>
    <t>黄江仓库</t>
  </si>
  <si>
    <t>专线挂号</t>
  </si>
  <si>
    <t>794</t>
  </si>
  <si>
    <t>0.7</t>
  </si>
  <si>
    <t>B3_Lixiaojia [李晓嘉]</t>
  </si>
  <si>
    <t>B3_Chengengcai [陈庚财]</t>
  </si>
  <si>
    <t>MKT_HHQ [黄华强]</t>
  </si>
  <si>
    <t>BMFT</t>
  </si>
  <si>
    <t>否</t>
  </si>
  <si>
    <t>线下支付</t>
  </si>
  <si>
    <t>普通产品 -&gt; Clothing Shoes &amp; Accessories -&gt; 欧美/大码女装3</t>
  </si>
  <si>
    <t>黄安琪</t>
  </si>
  <si>
    <t>362.0g/0.0m3</t>
  </si>
  <si>
    <t>2021-08-28 17:29:51.0</t>
  </si>
  <si>
    <t>2</t>
  </si>
  <si>
    <t>0.0</t>
  </si>
  <si>
    <t>手工导入</t>
  </si>
  <si>
    <t>MICHOACAN</t>
  </si>
  <si>
    <t>2023-11-02 09:52:57</t>
  </si>
  <si>
    <t>2023-11-03 11:33:59</t>
  </si>
  <si>
    <t>2023-11-02 19:07:07</t>
  </si>
  <si>
    <t>2023-11-03 11:19:14</t>
  </si>
  <si>
    <t>无</t>
  </si>
  <si>
    <t>MKT_ZBB [周彬]</t>
  </si>
  <si>
    <t>005422</t>
  </si>
  <si>
    <t>本地发</t>
  </si>
  <si>
    <t>畅销</t>
  </si>
  <si>
    <t>2023-11-01 19:06:02</t>
  </si>
  <si>
    <t>男装</t>
  </si>
  <si>
    <t>Men's Sweater Coat 毛衣外套</t>
  </si>
  <si>
    <t>796218594</t>
  </si>
  <si>
    <t>P116587187</t>
  </si>
  <si>
    <t>CMG220806017GYL</t>
  </si>
  <si>
    <t>男士秋冬纯色无帽拉链保暖开衫针织外套 灰色 L</t>
  </si>
  <si>
    <t>711</t>
  </si>
  <si>
    <t>696</t>
  </si>
  <si>
    <t>15</t>
  </si>
  <si>
    <t>106.65 MXN</t>
  </si>
  <si>
    <t>49.0</t>
  </si>
  <si>
    <t>64.94</t>
  </si>
  <si>
    <t>676</t>
  </si>
  <si>
    <t>740</t>
  </si>
  <si>
    <t>MKT_CMG [曹梦]</t>
  </si>
  <si>
    <t>ozozkrt@hotmail.com</t>
  </si>
  <si>
    <t>2023-11-04 16:32:31</t>
  </si>
  <si>
    <t>PD_Liqinghua [肖兴兴]</t>
  </si>
  <si>
    <t>YT2330821272154945</t>
  </si>
  <si>
    <t>2022-08-08 18:16:11</t>
  </si>
  <si>
    <t>452</t>
  </si>
  <si>
    <t>GMSY</t>
  </si>
  <si>
    <t>Gibobby Sueter hombre manga larga Suéteres Tipo cárdigan Casual para Hombre Chaqueta suéter de Punto Gibobby</t>
  </si>
  <si>
    <t>普通产品 -&gt; Clothing Shoes &amp; Accessories -&gt; 男装</t>
  </si>
  <si>
    <t>刘佳</t>
  </si>
  <si>
    <t>676.0g/0.0m3</t>
  </si>
  <si>
    <t>505232701652</t>
  </si>
  <si>
    <t>2022-08-06 20:00:08.0</t>
  </si>
  <si>
    <t>JALISCO</t>
  </si>
  <si>
    <t>2023-11-04 14:54:47</t>
  </si>
  <si>
    <t>2023-11-04 16:25:50</t>
  </si>
  <si>
    <t>2023-11-04 14:57:08</t>
  </si>
  <si>
    <t>2023-11-04 15:02:06</t>
  </si>
  <si>
    <t>LXJ1030FGkjgiJj</t>
  </si>
  <si>
    <t>2023-11-01 08:59:51</t>
  </si>
  <si>
    <t>欧美/大码女装1</t>
  </si>
  <si>
    <t>Women's Hoodies &amp; Sweatshirts 女士连帽卫衣1</t>
  </si>
  <si>
    <t>796218595</t>
  </si>
  <si>
    <t>P116583982</t>
  </si>
  <si>
    <t>YQX201105486GYM</t>
  </si>
  <si>
    <t>女士长袖豹纹拼接连帽卫衣毛衣上衣 灰色 M</t>
  </si>
  <si>
    <t>997</t>
  </si>
  <si>
    <t>475</t>
  </si>
  <si>
    <t>74.77 MXN</t>
  </si>
  <si>
    <t>38.0</t>
  </si>
  <si>
    <t>35.24744827586207</t>
  </si>
  <si>
    <t>824</t>
  </si>
  <si>
    <t>340</t>
  </si>
  <si>
    <t>MKT_GXL [郭晓玲]</t>
  </si>
  <si>
    <t>comprashoteles@grupoinjc.com</t>
  </si>
  <si>
    <t>2023-11-08 15:04:49</t>
  </si>
  <si>
    <t>huyanlan [胡艳兰]</t>
  </si>
  <si>
    <t>YT2330821272154944</t>
  </si>
  <si>
    <t>2020-11-07 13:21:35</t>
  </si>
  <si>
    <t>1096</t>
  </si>
  <si>
    <t>0.35</t>
  </si>
  <si>
    <t>user_YCX [岳晨曦]</t>
  </si>
  <si>
    <t>Gibobby Sudaderas para mujer, Sudadera de manga larga para mujer, dobladillo largo, bloque de color, Gibobby</t>
  </si>
  <si>
    <t>普通产品 -&gt; Clothing Shoes &amp; Accessories -&gt; 欧美/大码女装1</t>
  </si>
  <si>
    <t>824.0g/0.0m3</t>
  </si>
  <si>
    <t>870237001457</t>
  </si>
  <si>
    <t>2020-11-05 21:27:16.0</t>
  </si>
  <si>
    <t>2023-11-08 08:49:27</t>
  </si>
  <si>
    <t>2023-11-07 12:10:04</t>
  </si>
  <si>
    <t>LXJ1012Uey3PYfZ</t>
  </si>
  <si>
    <t>YQX201105486BKL</t>
  </si>
  <si>
    <t>女士长袖豹纹拼接连帽卫衣毛衣上衣 黑色 L</t>
  </si>
  <si>
    <t>492</t>
  </si>
  <si>
    <t>39.91255172413793</t>
  </si>
  <si>
    <t>385</t>
  </si>
  <si>
    <t>Gibobby Sudadera con cierre mujer, Popular Sudaderas con Capucha Moda Mujer Hombre Hip Hop Sudadera Gibobby</t>
  </si>
  <si>
    <t>2020-11-05 21:21:41.0</t>
  </si>
  <si>
    <t>LXJ1012Uey3PbuJ</t>
  </si>
  <si>
    <t>2023-11-02 02:29:18</t>
  </si>
  <si>
    <t>Women's Pullover Sweater 套头毛衣1</t>
  </si>
  <si>
    <t>796218596</t>
  </si>
  <si>
    <t>P116588932</t>
  </si>
  <si>
    <t>XTT221026005RDM</t>
  </si>
  <si>
    <t>女士高领长袖毛衣 红色 M</t>
  </si>
  <si>
    <t>1719</t>
  </si>
  <si>
    <t>503</t>
  </si>
  <si>
    <t>85.95 MXN</t>
  </si>
  <si>
    <t>45.0</t>
  </si>
  <si>
    <t>24.88842281879195</t>
  </si>
  <si>
    <t>1168</t>
  </si>
  <si>
    <t>300</t>
  </si>
  <si>
    <t>MKT_XTT [徐恬]</t>
  </si>
  <si>
    <t>choleissegura86@gmail.com</t>
  </si>
  <si>
    <t>2023-11-06 20:23:21</t>
  </si>
  <si>
    <t>wangke [王珂]</t>
  </si>
  <si>
    <t>YT2330821272154946</t>
  </si>
  <si>
    <t>2022-11-01 18:24:57</t>
  </si>
  <si>
    <t>370</t>
  </si>
  <si>
    <t>0.233</t>
  </si>
  <si>
    <t>wen_kai [温凯]</t>
  </si>
  <si>
    <t>UAZL</t>
  </si>
  <si>
    <t>3</t>
  </si>
  <si>
    <t>Gibobby Suéter mujer, Suéteres de otoño para mujer 2023 de gran tamaño, cuello alto grueso, suéter d Gibobby</t>
  </si>
  <si>
    <t>1168.0g/0.0m3</t>
  </si>
  <si>
    <t>870236102198</t>
  </si>
  <si>
    <t>2022-10-31 17:13:36.0</t>
  </si>
  <si>
    <t>2023-11-06 11:11:13</t>
  </si>
  <si>
    <t>2023-11-05 20:10:05</t>
  </si>
  <si>
    <t>LXJ1019OPvqA8Co</t>
  </si>
  <si>
    <t>Women's Pullover Sweater 套头毛衣3</t>
  </si>
  <si>
    <t>JQQ220827006BKM</t>
  </si>
  <si>
    <t>女士时尚针织衫复古麻花翻领长袖套头衫毛衣 黑色 M</t>
  </si>
  <si>
    <t>585</t>
  </si>
  <si>
    <t>47.0</t>
  </si>
  <si>
    <t>37.000788590604024</t>
  </si>
  <si>
    <t>446</t>
  </si>
  <si>
    <t>MKT_JQQ [江茜]</t>
  </si>
  <si>
    <t>huanglihua [黄丽桦]</t>
  </si>
  <si>
    <t>2022-09-01 18:04:43</t>
  </si>
  <si>
    <t>431</t>
  </si>
  <si>
    <t>MKT_HQF [黄乔芬]</t>
  </si>
  <si>
    <t>Gibobby Suéter de Punto, Suéter suelto de punto acanalado a rayas para mujer, cuello alto 2023, de m Gibobby</t>
  </si>
  <si>
    <t>2022-08-30 14:35:07.0</t>
  </si>
  <si>
    <t>LXJ1019lg9wOnvh</t>
  </si>
  <si>
    <t>JQQ220827006WHM</t>
  </si>
  <si>
    <t>女士时尚针织衫复古麻花翻领长袖套头衫毛衣 白色 M</t>
  </si>
  <si>
    <t>586</t>
  </si>
  <si>
    <t>47.25</t>
  </si>
  <si>
    <t>Gibobby Suéter para mujer, Suéteres de otoño para mujer 2023 de gran tamaño, cuello alto grueso, sué Gibobby</t>
  </si>
  <si>
    <t>LXJ1019lg9wOQPI</t>
  </si>
  <si>
    <t>2023-11-07 22:54:32</t>
  </si>
  <si>
    <t>Men's Hoodies &amp; Sweatshirts 男士连帽卫衣</t>
  </si>
  <si>
    <t>796347665</t>
  </si>
  <si>
    <t>P116642803</t>
  </si>
  <si>
    <t>ZZS221021014NYXL</t>
  </si>
  <si>
    <t>男士冬季休闲健身连帽圆点卫衣运动衫 藏青 XL</t>
  </si>
  <si>
    <t>379</t>
  </si>
  <si>
    <t>364</t>
  </si>
  <si>
    <t>56.85 MXN</t>
  </si>
  <si>
    <t>20.0</t>
  </si>
  <si>
    <t>41.48</t>
  </si>
  <si>
    <t>336</t>
  </si>
  <si>
    <t>MKT_LBB [刘邦]</t>
  </si>
  <si>
    <t>hectorbguionbajo@gmail.com</t>
  </si>
  <si>
    <t>2023-11-08 13:47:14</t>
  </si>
  <si>
    <t>PD_Fuchunhong [柳春艳]</t>
  </si>
  <si>
    <t>YT2331221272105470</t>
  </si>
  <si>
    <t>2022-10-22 12:17:14</t>
  </si>
  <si>
    <t>239</t>
  </si>
  <si>
    <t>user_HYM [黄易明]</t>
  </si>
  <si>
    <t>BMYJ</t>
  </si>
  <si>
    <t>Gibobby Sudadera cierre hombre Sudadera con Capucha y Cierre de Forro Polar para Hombre(Marina,XG) Gibobby</t>
  </si>
  <si>
    <t>336.0g/0.0m3</t>
  </si>
  <si>
    <t>511232901040</t>
  </si>
  <si>
    <t>2022-10-22 11:14:26.0</t>
  </si>
  <si>
    <t>AGUASCALIENTES</t>
  </si>
  <si>
    <t>2023-11-07 23:10:03</t>
  </si>
  <si>
    <t>2023-11-08 13:37:56</t>
  </si>
  <si>
    <t>2023-11-08 10:26:40</t>
  </si>
  <si>
    <t>2023-11-08 10:42:02</t>
  </si>
  <si>
    <t>LXJ1025fLFSpbp6</t>
  </si>
  <si>
    <t>2023-11-08 01:44:12</t>
  </si>
  <si>
    <t>Women's Parkas 女士棉服1</t>
  </si>
  <si>
    <t>796353560</t>
  </si>
  <si>
    <t>P116644161</t>
  </si>
  <si>
    <t>ALR230818011PKL</t>
  </si>
  <si>
    <t>女士秋冬季拉链气质通勤短款带帽可脱卸纯色立领轻薄棉服 粉色 L</t>
  </si>
  <si>
    <t>830</t>
  </si>
  <si>
    <t>815</t>
  </si>
  <si>
    <t>124.5 MXN</t>
  </si>
  <si>
    <t>77.0</t>
  </si>
  <si>
    <t>49.76</t>
  </si>
  <si>
    <t>456</t>
  </si>
  <si>
    <t>444</t>
  </si>
  <si>
    <t>MKT_ALR [李榕]</t>
  </si>
  <si>
    <t>rocio.covarrubias315@gmail.com</t>
  </si>
  <si>
    <t>2023-11-10 18:37:47</t>
  </si>
  <si>
    <t>PD_Zhanghuanhuan [张欢欢]</t>
  </si>
  <si>
    <t>YT2331221272105471</t>
  </si>
  <si>
    <t>2023-08-25 18:21:48</t>
  </si>
  <si>
    <t>77</t>
  </si>
  <si>
    <t>MKT_CJN [畅佳敏]</t>
  </si>
  <si>
    <t>Gibobby Chamarra mujer, Chamarra ligera con capucha para mujer con bolsa de embalaje con cordón(Rosa Gibobby</t>
  </si>
  <si>
    <t>456.0g/0.0m3</t>
  </si>
  <si>
    <t>511233901663</t>
  </si>
  <si>
    <t>2023-08-25 16:00:15.0</t>
  </si>
  <si>
    <t>MEXICO</t>
  </si>
  <si>
    <t>2023-11-08 02:10:03</t>
  </si>
  <si>
    <t>2023-11-10 17:05:18</t>
  </si>
  <si>
    <t>2023-11-10 17:04:31</t>
  </si>
  <si>
    <t>LXJ1018dhOyF4Un</t>
  </si>
  <si>
    <t>0.409</t>
  </si>
  <si>
    <t>2023-11-09 06:32:46</t>
  </si>
  <si>
    <t>796403553</t>
  </si>
  <si>
    <t>P116658798</t>
  </si>
  <si>
    <t>WJY220912029BUS</t>
  </si>
  <si>
    <t>女士提花毛衫雪花针织打底衫套头高领毛衣 蓝色 S</t>
  </si>
  <si>
    <t>3004</t>
  </si>
  <si>
    <t>75.1 MXN</t>
  </si>
  <si>
    <t>39.0</t>
  </si>
  <si>
    <t>30.516455696202534</t>
  </si>
  <si>
    <t>Ⓠ</t>
  </si>
  <si>
    <t>2370</t>
  </si>
  <si>
    <t>320</t>
  </si>
  <si>
    <t>MKT_WJY [伍嘉仪]</t>
  </si>
  <si>
    <t>cclaudiacamelia@yahoo.com</t>
  </si>
  <si>
    <t>2023-11-19 12:34:04</t>
  </si>
  <si>
    <t>YT2331321272041141</t>
  </si>
  <si>
    <t>2022-09-22 18:18:09</t>
  </si>
  <si>
    <t>422</t>
  </si>
  <si>
    <t>0.117</t>
  </si>
  <si>
    <t>6</t>
  </si>
  <si>
    <t>Gibobby Suéter de Punto Navideño Suéter de Navidad para mujer, Tops de manga larga, cuello redondo, Gibobby</t>
  </si>
  <si>
    <t>2370.0g/0.0m3</t>
  </si>
  <si>
    <t>512234200512</t>
  </si>
  <si>
    <t>2022-09-21 21:44:43.0</t>
  </si>
  <si>
    <t>2023-11-09 07:10:02</t>
  </si>
  <si>
    <t>2023-11-19 10:40:30</t>
  </si>
  <si>
    <t>2023-11-09 08:38:52</t>
  </si>
  <si>
    <t>2023-11-18 23:10:02</t>
  </si>
  <si>
    <t>LXJ1103bpjORWbIM</t>
  </si>
  <si>
    <t>Women's Turtleneck Sweater 高领毛衣1</t>
  </si>
  <si>
    <t>YLL220818007RDXL</t>
  </si>
  <si>
    <t>高领圣诞主题提花情侣毛衣男款 红色 XL</t>
  </si>
  <si>
    <t>524</t>
  </si>
  <si>
    <t>41.0</t>
  </si>
  <si>
    <t>46.537594936708864</t>
  </si>
  <si>
    <t>488</t>
  </si>
  <si>
    <t>User_YLL [袁丽]</t>
  </si>
  <si>
    <t>qinsisi [秦思斯]</t>
  </si>
  <si>
    <t>2022-08-19 18:17:34</t>
  </si>
  <si>
    <t>4</t>
  </si>
  <si>
    <t>Gibobby Suéter de Punto navideño para Mujer Suéter de Navidad para hombre, suéter informal con diseñ Gibobby</t>
  </si>
  <si>
    <t>莫懂娜</t>
  </si>
  <si>
    <t>2022-08-18 14:49:52.0</t>
  </si>
  <si>
    <t>LXJ1103beh7RhiCL</t>
  </si>
  <si>
    <t>YLL220818008RDXL</t>
  </si>
  <si>
    <t>高领圣诞主题提花情侣毛衣女款 红色 XL</t>
  </si>
  <si>
    <t>513</t>
  </si>
  <si>
    <t>47.68196202531646</t>
  </si>
  <si>
    <t>500</t>
  </si>
  <si>
    <t>2022-08-19 18:18:27</t>
  </si>
  <si>
    <t>Gibobby Sudadera de Navidad para mujer Suéter navideño para mujer, suéter informal con diseño de árb Gibobby</t>
  </si>
  <si>
    <t>2022-08-18 15:08:32.0</t>
  </si>
  <si>
    <t>LXJ1103bwqfZA9Vc</t>
  </si>
  <si>
    <t>WJY220912029BUXL</t>
  </si>
  <si>
    <t>女士提花毛衫雪花针织打底衫套头高领毛衣 蓝色 XL</t>
  </si>
  <si>
    <t>LXJ1103bpjORWRA1</t>
  </si>
  <si>
    <t>WJY220912029RDM</t>
  </si>
  <si>
    <t>女士提花毛衫雪花针织打底衫套头高领毛衣 红色 M</t>
  </si>
  <si>
    <t>LXJ1103bpjORW1Ol</t>
  </si>
  <si>
    <t>INL221117005WH</t>
  </si>
  <si>
    <t>女士圣诞节加厚毛衣秋冬季宽松上衣针织毛衣 白色</t>
  </si>
  <si>
    <t>545</t>
  </si>
  <si>
    <t>35.0</t>
  </si>
  <si>
    <t>55.311075949367094</t>
  </si>
  <si>
    <t>580</t>
  </si>
  <si>
    <t>MKT_INL [张林霖]</t>
  </si>
  <si>
    <t>chenfangfang [陈芳芳]</t>
  </si>
  <si>
    <t>AD_ZJP [周进平]</t>
  </si>
  <si>
    <t>2022-11-25 18:32:45</t>
  </si>
  <si>
    <t>358</t>
  </si>
  <si>
    <t>MKT_LXT [刘晓婷]</t>
  </si>
  <si>
    <t>5</t>
  </si>
  <si>
    <t>Gibobby Suéter navideño mujer Suéter grueso de Navidad para mujer Suéter de punto superior suelto de otoño e invierno(Blanco,Talla única)</t>
  </si>
  <si>
    <t>2022-11-25 14:38:45.0</t>
  </si>
  <si>
    <t>AD_ZGZ [钟观贞]</t>
  </si>
  <si>
    <t>800425</t>
  </si>
  <si>
    <t>LXJ1103bHtPN6dnX</t>
  </si>
  <si>
    <t>2023-11-10 01:27:52</t>
  </si>
  <si>
    <t>欧美/大码女装2</t>
  </si>
  <si>
    <t>Women's Sweater Coat 毛衣外套2</t>
  </si>
  <si>
    <t>796433597</t>
  </si>
  <si>
    <t>P116670904</t>
  </si>
  <si>
    <t>YLC210811313PKL</t>
  </si>
  <si>
    <t>女士秋季新款休闲宽松纯色套头长袖毛衣 粉色 L</t>
  </si>
  <si>
    <t>869</t>
  </si>
  <si>
    <t>390</t>
  </si>
  <si>
    <t>65.17 MXN</t>
  </si>
  <si>
    <t>37.0</t>
  </si>
  <si>
    <t>25.82467105263158</t>
  </si>
  <si>
    <t>610</t>
  </si>
  <si>
    <t>260</t>
  </si>
  <si>
    <t>MKT_YLC [陈玉连]</t>
  </si>
  <si>
    <t>lgonzalez@ebyheise.mx</t>
  </si>
  <si>
    <t>2023-11-12 11:09:21</t>
  </si>
  <si>
    <t>AD_CXX [陈雪]</t>
  </si>
  <si>
    <t>YT2331421272046831</t>
  </si>
  <si>
    <t>2021-08-12 18:42:27</t>
  </si>
  <si>
    <t>821</t>
  </si>
  <si>
    <t>MKT_SFW [史方伟]</t>
  </si>
  <si>
    <t>Gibobby Suéter de invierno para mujer, Suéter de Mujer de Moda Elegantes de Manga Larga Cuello V, Su Gibobby</t>
  </si>
  <si>
    <t>普通产品 -&gt; Clothing Shoes &amp; Accessories -&gt; 欧美/大码女装2</t>
  </si>
  <si>
    <t>610.0g/0.0m3</t>
  </si>
  <si>
    <t>513233900287</t>
  </si>
  <si>
    <t>2021-08-11 21:03:59.0</t>
  </si>
  <si>
    <t>2023-11-10 02:10:03</t>
  </si>
  <si>
    <t>2023-11-12 09:33:53</t>
  </si>
  <si>
    <t>2023-11-10 08:50:24</t>
  </si>
  <si>
    <t>2023-11-11 21:10:07</t>
  </si>
  <si>
    <t>LXJ1020s8n4JGrZ</t>
  </si>
  <si>
    <t>WJY220714002LBL</t>
  </si>
  <si>
    <t>女士镂空花纹圆领套头毛衣 浅蓝色 L</t>
  </si>
  <si>
    <t>449</t>
  </si>
  <si>
    <t>53.89</t>
  </si>
  <si>
    <t>34.56532894736842</t>
  </si>
  <si>
    <t>348</t>
  </si>
  <si>
    <t>2022-07-15 18:47:33</t>
  </si>
  <si>
    <t>484</t>
  </si>
  <si>
    <t>Gibobby Suéteres para mujer, Suéter de Cuello Redondo Acogedor Suéter para Mujer(Azul claro,CH) Gibobby</t>
  </si>
  <si>
    <t>2022-07-14 18:35:54.0</t>
  </si>
  <si>
    <t>LXJ1019peWyULrb</t>
  </si>
  <si>
    <t>2023-11-10 10:20:03</t>
  </si>
  <si>
    <t>Women's Fleece Jackets &amp; Coats 女士抓绒外套2</t>
  </si>
  <si>
    <t>796450187</t>
  </si>
  <si>
    <t>P116686061</t>
  </si>
  <si>
    <t>SFW71016311DGM</t>
  </si>
  <si>
    <t xml:space="preserve">865# 女士连帽卫衣绒衫 深灰色MM </t>
  </si>
  <si>
    <t>934</t>
  </si>
  <si>
    <t>345</t>
  </si>
  <si>
    <t>70.05 MXN</t>
  </si>
  <si>
    <t>28.98</t>
  </si>
  <si>
    <t>28.977</t>
  </si>
  <si>
    <t>21.680397022332507</t>
  </si>
  <si>
    <t>790</t>
  </si>
  <si>
    <t>237</t>
  </si>
  <si>
    <t>MKT_YLA [林宇丽]</t>
  </si>
  <si>
    <t>alberto_reyesromero@hotmail.com</t>
  </si>
  <si>
    <t>2023-11-14 17:11:36</t>
  </si>
  <si>
    <t>luozhibin [罗智斌]</t>
  </si>
  <si>
    <t>AD_LIX [李秀]</t>
  </si>
  <si>
    <t>YT2331421272125299</t>
  </si>
  <si>
    <t>2017-10-16 20:36:51</t>
  </si>
  <si>
    <t>157</t>
  </si>
  <si>
    <t>Gibobby Chamarra mujer, Chaqueta de Invierno con Capucha para Mujer, de Manga Larga, de Forro Polar, Gibobby</t>
  </si>
  <si>
    <t>790.0g/0.0m3</t>
  </si>
  <si>
    <t>514232502944</t>
  </si>
  <si>
    <t>2017-10-16 10:50:11.0</t>
  </si>
  <si>
    <t>PUEBLA</t>
  </si>
  <si>
    <t>2023-11-10 10:55:58</t>
  </si>
  <si>
    <t>2023-11-14 10:42:25</t>
  </si>
  <si>
    <t>2023-11-13 15:48:55</t>
  </si>
  <si>
    <t>2023-11-13 16:02:02</t>
  </si>
  <si>
    <t>002113</t>
  </si>
  <si>
    <t>LXJ1011Qor1TESy</t>
  </si>
  <si>
    <t>Women's Fleece Jackets &amp; Coats 女士抓绒外套1</t>
  </si>
  <si>
    <t>YQX201110482COL</t>
  </si>
  <si>
    <t>女士连帽毛呢绒秋冬上衣外套 咖啡色 L</t>
  </si>
  <si>
    <t>559</t>
  </si>
  <si>
    <t>40.0</t>
  </si>
  <si>
    <t>51.129602977667496</t>
  </si>
  <si>
    <t>566</t>
  </si>
  <si>
    <t>2020-11-11 19:22:59</t>
  </si>
  <si>
    <t>1097</t>
  </si>
  <si>
    <t>Gibobby Chamarra de Invierno, Chamarra Sherpa de invierno para mujer, de gran tamaño, abrigos, abrig Gibobby</t>
  </si>
  <si>
    <t>2020-11-10 19:38:23.0</t>
  </si>
  <si>
    <t>LXJ1011FlFAAfWZ</t>
  </si>
  <si>
    <t>2023-11-11 03:26:34</t>
  </si>
  <si>
    <t>796477623</t>
  </si>
  <si>
    <t>P116699105</t>
  </si>
  <si>
    <t>MKX221117018GNA</t>
  </si>
  <si>
    <t>秋冬新款女装套头打底衫上衣宽松马海毛女式针织衫圆领毛衣 绿色 A</t>
  </si>
  <si>
    <t>321</t>
  </si>
  <si>
    <t>50.4 MXN</t>
  </si>
  <si>
    <t>15.5</t>
  </si>
  <si>
    <t>40.38</t>
  </si>
  <si>
    <t>380</t>
  </si>
  <si>
    <t>MKT_MKX [莫可欣]</t>
  </si>
  <si>
    <t>gpantojam@gmail.com</t>
  </si>
  <si>
    <t>2023-11-13 20:12:25</t>
  </si>
  <si>
    <t>YT2331521272038386</t>
  </si>
  <si>
    <t>2022-11-25 18:23:17</t>
  </si>
  <si>
    <t>353</t>
  </si>
  <si>
    <t>Gibobby Suéter de invierno para mujer, Suéter Trenzado de Cuello Redondo para Uso Diario Suéter puló Gibobby</t>
  </si>
  <si>
    <t>320.0g/0.0m3</t>
  </si>
  <si>
    <t>880236601728</t>
  </si>
  <si>
    <t>2022-11-25 17:11:36.0</t>
  </si>
  <si>
    <t>DISTRITO FEDERAL</t>
  </si>
  <si>
    <t>2023-11-11 04:10:03</t>
  </si>
  <si>
    <t>2023-11-13 20:08:13</t>
  </si>
  <si>
    <t>2023-11-11 08:36:31</t>
  </si>
  <si>
    <t>2023-11-13 19:52:13</t>
  </si>
  <si>
    <t>LXJ1019dbc6IYrR</t>
  </si>
  <si>
    <t>2023-11-14 05:47:48</t>
  </si>
  <si>
    <t>796635452</t>
  </si>
  <si>
    <t>P116781653</t>
  </si>
  <si>
    <t>YLL220711004BKL</t>
  </si>
  <si>
    <t>女士印花带帽卫衣 黑色 L</t>
  </si>
  <si>
    <t>754</t>
  </si>
  <si>
    <t>56.55 MXN</t>
  </si>
  <si>
    <t>22.0</t>
  </si>
  <si>
    <t>48.525</t>
  </si>
  <si>
    <t>750</t>
  </si>
  <si>
    <t>410</t>
  </si>
  <si>
    <t>pulsosdepoder@yahoo.com.mx</t>
  </si>
  <si>
    <t>2023-11-24 10:32:56</t>
  </si>
  <si>
    <t>ouyanghuiyao [欧阳慧瑶]</t>
  </si>
  <si>
    <t>YT2331821272057558</t>
  </si>
  <si>
    <t>2022-07-13 18:38:29</t>
  </si>
  <si>
    <t>498</t>
  </si>
  <si>
    <t>Gibobby Sudaderas para mujer, Sudadera de Manga Larga con Capucha para Mujer, de Gran tamaño, con Bo Gibobby</t>
  </si>
  <si>
    <t>樊琴</t>
  </si>
  <si>
    <t>750.0g/0.0m3</t>
  </si>
  <si>
    <t>517234405010</t>
  </si>
  <si>
    <t>2022-07-11 16:47:14.0</t>
  </si>
  <si>
    <t>TABASCO</t>
  </si>
  <si>
    <t>2023-11-14 06:10:03</t>
  </si>
  <si>
    <t>2023-11-24 09:16:04</t>
  </si>
  <si>
    <t>2023-11-14 08:39:03</t>
  </si>
  <si>
    <t>2023-11-23 22:10:02</t>
  </si>
  <si>
    <t>LXJ10126YQgJ34a</t>
  </si>
  <si>
    <t>YLL220711004BKXL</t>
  </si>
  <si>
    <t>女士印花带帽卫衣 黑色 XL</t>
  </si>
  <si>
    <t>Gibobby Sudadera con capucha mujer, 2023 Sudaderas con capucha y cuello redondo para mujer, diseño d Gibobby</t>
  </si>
  <si>
    <t>LXJ10126YQgJ4tb</t>
  </si>
  <si>
    <t>2023-11-15 05:56:41</t>
  </si>
  <si>
    <t>Men's Parkas 男士棉服</t>
  </si>
  <si>
    <t>796680362</t>
  </si>
  <si>
    <t>P116808169</t>
  </si>
  <si>
    <t>CMG220919011GNL</t>
  </si>
  <si>
    <t>男士秋冬时尚休闲连帽纯色加厚保暖棉衣棉服外套上衣 绿色 L</t>
  </si>
  <si>
    <t>793</t>
  </si>
  <si>
    <t>778</t>
  </si>
  <si>
    <t>118.95 MXN</t>
  </si>
  <si>
    <t>69.0</t>
  </si>
  <si>
    <t>73.78</t>
  </si>
  <si>
    <t>物流异常原因：货物最新状态显示"派送失败/到达待取"，请尽快通知收件人主动联系当地邮局/服务商派送及取件，以免货物滞留太久导致退件，也请持续关注轨迹进展！（注：派送不成功通知自取是物流附加服务，是人工抓取轨迹的，如抓取到的会通知，但不保证100%，包裹显示已签收或退回请忽略）墨西哥IMILE
联系电话：5593020502
邮箱联系：customerservice@imile.me、ayuda@imile.me
服务时间：周一至周五8:00-18:00，周六9:00-13:00" 逾期自动完结</t>
  </si>
  <si>
    <t>804</t>
  </si>
  <si>
    <t>802</t>
  </si>
  <si>
    <t>smart_mcrc@hotmail.com</t>
  </si>
  <si>
    <t>2023-11-15 14:39:48</t>
  </si>
  <si>
    <t>huxin [胡欣]</t>
  </si>
  <si>
    <t>YT2331921272036309</t>
  </si>
  <si>
    <t>2022-09-21 12:09:36</t>
  </si>
  <si>
    <t>Gibobby Chamarra invierno hombre Abrigos de invierno para hombre, chamarra de franela de moda para h Gibobby</t>
  </si>
  <si>
    <t>804.0g/0.0m3</t>
  </si>
  <si>
    <t>884236800957</t>
  </si>
  <si>
    <t>2022-09-20 11:41:29.0</t>
  </si>
  <si>
    <t>2023-11-15 06:10:03</t>
  </si>
  <si>
    <t>2023-11-15 13:29:15</t>
  </si>
  <si>
    <t>2023-11-15 08:32:28</t>
  </si>
  <si>
    <t>2023-11-15 08:42:09</t>
  </si>
  <si>
    <t>LXJ10302rYH0CvN</t>
  </si>
  <si>
    <t>2023-11-15 06:52:57</t>
  </si>
  <si>
    <t>Women's Fleece Jackets &amp; Coats 女士抓绒外套3</t>
  </si>
  <si>
    <t>796682503</t>
  </si>
  <si>
    <t>P116809851</t>
  </si>
  <si>
    <t>AWL230821007PPM</t>
  </si>
  <si>
    <t>女士冬季绒毛拼色连帽外套 紫色 M</t>
  </si>
  <si>
    <t>554</t>
  </si>
  <si>
    <t>539</t>
  </si>
  <si>
    <t>83.1 MXN</t>
  </si>
  <si>
    <t>57.86</t>
  </si>
  <si>
    <t>508</t>
  </si>
  <si>
    <t>512</t>
  </si>
  <si>
    <t>MKT_AWL [谢文丽]</t>
  </si>
  <si>
    <t>rstadtle@gmail.com</t>
  </si>
  <si>
    <t>2023-11-15 14:03:19</t>
  </si>
  <si>
    <t>PD_Dengchunhua1 [邓春花]</t>
  </si>
  <si>
    <t>YT2331921272036310</t>
  </si>
  <si>
    <t>2023-08-30 18:27:13</t>
  </si>
  <si>
    <t>76</t>
  </si>
  <si>
    <t>am1_LNP [黎妮平]</t>
  </si>
  <si>
    <t>TRA_ZCZ [张朝真]</t>
  </si>
  <si>
    <t>Gibobby Chamarra Sherpa para mujer, Abrigo acolchado de felpa a contraste, ajuste holgado con cierre Gibobby</t>
  </si>
  <si>
    <t>508.0g/0.0m3</t>
  </si>
  <si>
    <t>518234504800</t>
  </si>
  <si>
    <t>2023-08-30 16:00:01.0</t>
  </si>
  <si>
    <t>CIUDAD DE MEXICO</t>
  </si>
  <si>
    <t>2023-11-15 07:10:03</t>
  </si>
  <si>
    <t>2023-11-15 13:05:03</t>
  </si>
  <si>
    <t>2023-11-15 08:42:07</t>
  </si>
  <si>
    <t>LXJ1011CO8TAhGt</t>
  </si>
  <si>
    <t>2023-11-17 01:03:47</t>
  </si>
  <si>
    <t>796759699</t>
  </si>
  <si>
    <t>P116853950</t>
  </si>
  <si>
    <t>CXS210907925AGL</t>
  </si>
  <si>
    <t>男士纯色拉链连帽口袋棉服外套 军绿色 L</t>
  </si>
  <si>
    <t>550</t>
  </si>
  <si>
    <t>535</t>
  </si>
  <si>
    <t>82.5 MXN</t>
  </si>
  <si>
    <t>45.5</t>
  </si>
  <si>
    <t>64.5</t>
  </si>
  <si>
    <t>440</t>
  </si>
  <si>
    <t>MKT_CXS [陈旭生]</t>
  </si>
  <si>
    <t>isma_viva@gmail.com</t>
  </si>
  <si>
    <t>2023-11-26 10:26:56</t>
  </si>
  <si>
    <t>AD_ZCL [周彩玲]</t>
  </si>
  <si>
    <t>YT2332121272034439</t>
  </si>
  <si>
    <t>2021-09-08 18:25:20</t>
  </si>
  <si>
    <t>808</t>
  </si>
  <si>
    <t>MKT_CWA [岑婉君]</t>
  </si>
  <si>
    <t>Gibobby Chamarras para hombre Chamarra de Invierno con Capucha para Hombre, chamarra cortavientos li Gibobby</t>
  </si>
  <si>
    <t>440.0g/0.0m3</t>
  </si>
  <si>
    <t>886236300678</t>
  </si>
  <si>
    <t>2021-09-07 21:10:29.0</t>
  </si>
  <si>
    <t>CAMPECHE</t>
  </si>
  <si>
    <t>2023-11-17 02:10:03</t>
  </si>
  <si>
    <t>2023-11-26 09:04:14</t>
  </si>
  <si>
    <t>2023-11-17 08:30:13</t>
  </si>
  <si>
    <t>2023-11-26 08:33:42</t>
  </si>
  <si>
    <t>LXJ1030dA09xsHA</t>
  </si>
  <si>
    <t>2023-11-17 03:18:10</t>
  </si>
  <si>
    <t>Women's Blazers &amp; Suit Jackets 女士西装外套1</t>
  </si>
  <si>
    <t>796764667</t>
  </si>
  <si>
    <t>P116857769</t>
  </si>
  <si>
    <t>SFW220702006PPM</t>
  </si>
  <si>
    <t>女士渐变色印花长袖翻领西装外套 紫色 M</t>
  </si>
  <si>
    <t>930</t>
  </si>
  <si>
    <t>450</t>
  </si>
  <si>
    <t>69.75 MXN</t>
  </si>
  <si>
    <t>34.0</t>
  </si>
  <si>
    <t>41.385</t>
  </si>
  <si>
    <t>614</t>
  </si>
  <si>
    <t>338</t>
  </si>
  <si>
    <t>ailensaavedra2780@gmail.com</t>
  </si>
  <si>
    <t>2023-11-26 16:52:43</t>
  </si>
  <si>
    <t>liuwei [刘维]</t>
  </si>
  <si>
    <t>YT2332121272031071</t>
  </si>
  <si>
    <t>2022-07-04 18:26:13</t>
  </si>
  <si>
    <t>509</t>
  </si>
  <si>
    <t>Gibobby Blazer de mujer casual Chamarra Casual de Manga Larga con Botones y Solapa para Mujer(Morado Gibobby</t>
  </si>
  <si>
    <t>614.0g/0.0m3</t>
  </si>
  <si>
    <t>520234200166</t>
  </si>
  <si>
    <t>2022-07-02 16:47:59.0</t>
  </si>
  <si>
    <t>NUEVO LEON</t>
  </si>
  <si>
    <t>2023-11-17 04:10:06</t>
  </si>
  <si>
    <t>2023-11-26 14:17:43</t>
  </si>
  <si>
    <t>2023-11-25 18:10:03</t>
  </si>
  <si>
    <t>LXJ1024Ee5cKPvK</t>
  </si>
  <si>
    <t>SFW220702006ORM</t>
  </si>
  <si>
    <t>女士渐变色印花长袖翻领西装外套 橙色 M</t>
  </si>
  <si>
    <t>Gibobby Blazer mujer casual Chaqueta De Mujer Casual Blazer Un Botón Encogimiento De Hombros Traje D Gibobby</t>
  </si>
  <si>
    <t>LXJ1024Ee5cKJi0</t>
  </si>
  <si>
    <t>2023-11-17 05:50:11</t>
  </si>
  <si>
    <t>796769205</t>
  </si>
  <si>
    <t>P116862166</t>
  </si>
  <si>
    <t>CJN230923001YEM</t>
  </si>
  <si>
    <t>女士秋冬休闲纯色系扣连帽卫衣 黄色 M</t>
  </si>
  <si>
    <t>437</t>
  </si>
  <si>
    <t>65.55 MXN</t>
  </si>
  <si>
    <t>29.0</t>
  </si>
  <si>
    <t>50.64</t>
  </si>
  <si>
    <t>344</t>
  </si>
  <si>
    <t>322</t>
  </si>
  <si>
    <t>rosinahchi@hotmail.com</t>
  </si>
  <si>
    <t>2023-11-17 14:22:17</t>
  </si>
  <si>
    <t>panyan [潘燕]</t>
  </si>
  <si>
    <t>YT2332121272031070</t>
  </si>
  <si>
    <t>2023-09-27 18:27:41</t>
  </si>
  <si>
    <t>50</t>
  </si>
  <si>
    <t>Gibobby Sudadera mujer con cierre, Sudadera con capucha para mujer, con dobladillo irregular, holgad Gibobby</t>
  </si>
  <si>
    <t>344.0g/0.0m3</t>
  </si>
  <si>
    <t>886236802310</t>
  </si>
  <si>
    <t>2023-09-25 16:51:15.0</t>
  </si>
  <si>
    <t>2023-11-17 06:10:03</t>
  </si>
  <si>
    <t>2023-11-17 14:02:07</t>
  </si>
  <si>
    <t>2023-11-17 08:42:07</t>
  </si>
  <si>
    <t>LXJ10128a66oSFm</t>
  </si>
  <si>
    <t>0.410812</t>
  </si>
  <si>
    <t>2023-11-18 02:41:38</t>
  </si>
  <si>
    <t>Women's Hoodless Sweatshirt 女士无帽卫衣1</t>
  </si>
  <si>
    <t>796807680</t>
  </si>
  <si>
    <t>P116891414</t>
  </si>
  <si>
    <t>YYD230920001RDL</t>
  </si>
  <si>
    <t>女士秋冬休闲宽松字母印花落肩长袖套头运动衫上衣 红色 L</t>
  </si>
  <si>
    <t>350</t>
  </si>
  <si>
    <t>335</t>
  </si>
  <si>
    <t>52.5 MXN</t>
  </si>
  <si>
    <t>25.0</t>
  </si>
  <si>
    <t>其他-无()</t>
  </si>
  <si>
    <t>282</t>
  </si>
  <si>
    <t>MKT_YYD [叶银刁]</t>
  </si>
  <si>
    <t>letyeliu65@gmail.com</t>
  </si>
  <si>
    <t>2023-09-21 18:17:48</t>
  </si>
  <si>
    <t>已取消</t>
  </si>
  <si>
    <t>平邮</t>
  </si>
  <si>
    <t>Gibobby Sudadera oversize mujer Sudadera de Forro Polar con Cuello Redondo Sudadera para Mujer(Rojo, Gibobby</t>
  </si>
  <si>
    <t>0.0g/0.0m3</t>
  </si>
  <si>
    <t>521234200708</t>
  </si>
  <si>
    <t>2023-09-21 09:01:01.0</t>
  </si>
  <si>
    <t>HIDALGO</t>
  </si>
  <si>
    <t>2023-11-18 03:10:03</t>
  </si>
  <si>
    <t>LXJ1016WhIp9T2z</t>
  </si>
  <si>
    <t>2023-11-18 06:03:49</t>
  </si>
  <si>
    <t>796813898</t>
  </si>
  <si>
    <t>P116902766</t>
  </si>
  <si>
    <t>ZFH230817002GNL</t>
  </si>
  <si>
    <t>NO 女士纯色套头连帽卫衣 绿色 L</t>
  </si>
  <si>
    <t>356</t>
  </si>
  <si>
    <t>341</t>
  </si>
  <si>
    <t>53.4 MXN</t>
  </si>
  <si>
    <t>43.88</t>
  </si>
  <si>
    <t>线下E邮宝-深圳邮局线下EUB(朗易)(028)</t>
  </si>
  <si>
    <t>08</t>
  </si>
  <si>
    <t>328</t>
  </si>
  <si>
    <t>346</t>
  </si>
  <si>
    <t>MKT_ZFH [钟繁华]</t>
  </si>
  <si>
    <t>scarlett26.anje@gmail.com</t>
  </si>
  <si>
    <t>2023-11-21 11:37:33</t>
  </si>
  <si>
    <t>xieguangpen [谢广盆]</t>
  </si>
  <si>
    <t>LJ002323511CN</t>
  </si>
  <si>
    <t>2023-08-22 18:21:42</t>
  </si>
  <si>
    <t>挂号</t>
  </si>
  <si>
    <t>Gibobby Sudadera con capucha mujer, Sudadera con Capucha Acanalada de Mezcla de algodón Marfil con B Gibobby</t>
  </si>
  <si>
    <t>328.0g/0.0m3</t>
  </si>
  <si>
    <t>514232600361</t>
  </si>
  <si>
    <t>2023-08-22 16:24:59.0</t>
  </si>
  <si>
    <t>2023-11-18 06:10:02</t>
  </si>
  <si>
    <t>2023-11-21 09:22:11</t>
  </si>
  <si>
    <t>2023-11-18 08:34:09</t>
  </si>
  <si>
    <t>2023-11-21 08:03:46</t>
  </si>
  <si>
    <t>LXJ1012I1JKaOhT</t>
  </si>
  <si>
    <t>2023-11-18 11:08:59</t>
  </si>
  <si>
    <t>796851029</t>
  </si>
  <si>
    <t>P116935834</t>
  </si>
  <si>
    <t>XTT220919015BKL</t>
  </si>
  <si>
    <t>女士马甲修身棉坎肩 黑色 L</t>
  </si>
  <si>
    <t>708</t>
  </si>
  <si>
    <t>693</t>
  </si>
  <si>
    <t>106.2 MXN</t>
  </si>
  <si>
    <t>57.0</t>
  </si>
  <si>
    <t>88.42</t>
  </si>
  <si>
    <t>746</t>
  </si>
  <si>
    <t>730</t>
  </si>
  <si>
    <t>brendagamboaramos79@gmail.com</t>
  </si>
  <si>
    <t>2023-11-20 10:21:36</t>
  </si>
  <si>
    <t>YT2332421272069965</t>
  </si>
  <si>
    <t>2022-09-20 18:29:21</t>
  </si>
  <si>
    <t>425</t>
  </si>
  <si>
    <t>Gibobby Chaleco columbia mujer largo, Chaleco largo de plumón para mujer, sin mangas, acolchado, lig Gibobby</t>
  </si>
  <si>
    <t>746.0g/0.0m3</t>
  </si>
  <si>
    <t>888235004245</t>
  </si>
  <si>
    <t>2022-09-19 14:48:25.0</t>
  </si>
  <si>
    <t>DURANGO</t>
  </si>
  <si>
    <t>2023-11-19 02:10:03</t>
  </si>
  <si>
    <t>2023-11-20 10:17:47</t>
  </si>
  <si>
    <t>2023-11-20 08:38:47</t>
  </si>
  <si>
    <t>2023-11-20 08:42:08</t>
  </si>
  <si>
    <t>LXJ1010ysh0qmJo</t>
  </si>
  <si>
    <t>2023-11-19 05:16:31</t>
  </si>
  <si>
    <t>796860844</t>
  </si>
  <si>
    <t>P116949435</t>
  </si>
  <si>
    <t>JUN220905005BKL</t>
  </si>
  <si>
    <t>女式休闲连帽衫长袖套头衫上衣宽松运动衫带口袋 黑色 L</t>
  </si>
  <si>
    <t>1317</t>
  </si>
  <si>
    <t>409</t>
  </si>
  <si>
    <t>65.85 MXN</t>
  </si>
  <si>
    <t>31.0</t>
  </si>
  <si>
    <t>43.13117546848382</t>
  </si>
  <si>
    <t>1152</t>
  </si>
  <si>
    <t>400</t>
  </si>
  <si>
    <t>MKT_JUN [黄峻捷]</t>
  </si>
  <si>
    <t>apjaqueline83@gmail.com</t>
  </si>
  <si>
    <t>2023-11-20 20:16:49</t>
  </si>
  <si>
    <t>zhuxiaodie [朱晓蝶]</t>
  </si>
  <si>
    <t>YT2332421272062774</t>
  </si>
  <si>
    <t>2022-09-12 18:08:55</t>
  </si>
  <si>
    <t>434</t>
  </si>
  <si>
    <t>Gibobby Sudadera mujer, Sudadera con Capucha de Forro Polar, Sudadera con Capucha para Mujer(Rosa ca Gibobby</t>
  </si>
  <si>
    <t>1152.0g/0.0m3</t>
  </si>
  <si>
    <t>522234402856</t>
  </si>
  <si>
    <t>2022-09-12 16:33:48.0</t>
  </si>
  <si>
    <t>2023-11-19 06:10:03</t>
  </si>
  <si>
    <t>2023-11-20 15:15:25</t>
  </si>
  <si>
    <t>2023-11-20 09:02:20</t>
  </si>
  <si>
    <t>LXJ1012MYU1WxD4</t>
  </si>
  <si>
    <t>FZQ230725007RDXL</t>
  </si>
  <si>
    <t>男士秋冬新款连帽卫衣 套头男士斜拉链连帽卫衣 红色 XL</t>
  </si>
  <si>
    <t>384</t>
  </si>
  <si>
    <t>36.23018739352641</t>
  </si>
  <si>
    <t>MKT_FZQ [付志强]</t>
  </si>
  <si>
    <t>2023-08-09 18:25:40</t>
  </si>
  <si>
    <t>103</t>
  </si>
  <si>
    <t>Gibobby Sudaderas y2k Sudadera con capucha para mujer y hombre de manga larga a la moda(Rojo,XG) Gibobby</t>
  </si>
  <si>
    <t>2023-08-08 17:12:01.0</t>
  </si>
  <si>
    <t>LXJ102499ST0PIE</t>
  </si>
  <si>
    <t>YAY91021372BKL2</t>
  </si>
  <si>
    <t>男士金丝绒纯色连帽卫衣 黑色 XXL</t>
  </si>
  <si>
    <t>479</t>
  </si>
  <si>
    <t>47.22863713798978</t>
  </si>
  <si>
    <t>438</t>
  </si>
  <si>
    <t>MKT_YAY [杨阳]</t>
  </si>
  <si>
    <t>wangchunping [王春平]</t>
  </si>
  <si>
    <t>2019-10-22 18:12:41</t>
  </si>
  <si>
    <t>1490</t>
  </si>
  <si>
    <t>Gibobby Sudadera polar hombre Sudadera con Capucha Sudadera para Hombre(Negro,XG) Gibobby</t>
  </si>
  <si>
    <t>2019-10-21 14:41:57.0</t>
  </si>
  <si>
    <t>LXJ1024Er3vpTR6</t>
  </si>
  <si>
    <t>2023-11-19 14:10:13</t>
  </si>
  <si>
    <t>Women's Parkas 女士棉服2</t>
  </si>
  <si>
    <t>796874120</t>
  </si>
  <si>
    <t>P116976357</t>
  </si>
  <si>
    <t>BYL230904004BGL</t>
  </si>
  <si>
    <t>女士休闲中长款棉服马甲背心外套 米色 L</t>
  </si>
  <si>
    <t>576</t>
  </si>
  <si>
    <t>561</t>
  </si>
  <si>
    <t>86.4 MXN</t>
  </si>
  <si>
    <t>42.0</t>
  </si>
  <si>
    <t>84.1</t>
  </si>
  <si>
    <t>700</t>
  </si>
  <si>
    <t>690</t>
  </si>
  <si>
    <t>MKT_BYL [姚伊琳]</t>
  </si>
  <si>
    <t>charliem73@hotmail.com</t>
  </si>
  <si>
    <t>2023-11-20 10:27:09</t>
  </si>
  <si>
    <t>zhangyuting [张雨婷]</t>
  </si>
  <si>
    <t>YT2332421272069964</t>
  </si>
  <si>
    <t>2023-09-05 18:41:49</t>
  </si>
  <si>
    <t>75</t>
  </si>
  <si>
    <t>Gibobby Abrigos largos de invierno para mujer, Chaleco largo de invierno para mujer, chamarra delgad Gibobby</t>
  </si>
  <si>
    <t>700.0g/0.0m3</t>
  </si>
  <si>
    <t>523232805643</t>
  </si>
  <si>
    <t>2023-09-05 16:30:10.0</t>
  </si>
  <si>
    <t>SAN LUIS POTOSI</t>
  </si>
  <si>
    <t>2023-11-19 15:10:04</t>
  </si>
  <si>
    <t>2023-11-20 10:18:54</t>
  </si>
  <si>
    <t>2023-11-20 08:42:09</t>
  </si>
  <si>
    <t>LXJ1010MXkqBfTL</t>
  </si>
  <si>
    <t>2023-11-19 22:35:35</t>
  </si>
  <si>
    <t>796886829</t>
  </si>
  <si>
    <t>P116978781</t>
  </si>
  <si>
    <t>MJJ210824293DGS</t>
  </si>
  <si>
    <t>男士秋冬长袖圆领毛衣上衣围巾两件套 深灰色 S</t>
  </si>
  <si>
    <t>698</t>
  </si>
  <si>
    <t>683</t>
  </si>
  <si>
    <t>104.7 MXN</t>
  </si>
  <si>
    <t>55.5</t>
  </si>
  <si>
    <t>78.99</t>
  </si>
  <si>
    <t>578</t>
  </si>
  <si>
    <t>600</t>
  </si>
  <si>
    <t>MKT_MJJ [梅建]</t>
  </si>
  <si>
    <t>pacomaldonado@hotmail.com</t>
  </si>
  <si>
    <t>2023-11-24 10:13:57</t>
  </si>
  <si>
    <t>panlongfeng [潘龙凤]</t>
  </si>
  <si>
    <t>YT2332421272077209</t>
  </si>
  <si>
    <t>2021-08-25 18:18:28</t>
  </si>
  <si>
    <t>820</t>
  </si>
  <si>
    <t>Gibobby Suéter de cuello redondo para hombre Sudadera de forro polar para hombre, suéter de mezcla d Gibobby</t>
  </si>
  <si>
    <t>578.0g/0.0m3</t>
  </si>
  <si>
    <t>889236001235</t>
  </si>
  <si>
    <t>2021-08-24 14:35:34.0</t>
  </si>
  <si>
    <t>QUINTANA ROO</t>
  </si>
  <si>
    <t>2023-11-19 23:10:03</t>
  </si>
  <si>
    <t>2023-11-24 09:33:22</t>
  </si>
  <si>
    <t>2023-11-24 08:32:53</t>
  </si>
  <si>
    <t>LXJ1025aKtzTYUR</t>
  </si>
  <si>
    <t>2023-11-20 09:48:46</t>
  </si>
  <si>
    <t>796915227</t>
  </si>
  <si>
    <t>P117015210</t>
  </si>
  <si>
    <t>LLP201015146BKL</t>
  </si>
  <si>
    <t>女士长袖纽扣纯色西装外套   黑色 L</t>
  </si>
  <si>
    <t>949</t>
  </si>
  <si>
    <t>542</t>
  </si>
  <si>
    <t>71.17 MXN</t>
  </si>
  <si>
    <t>30.0</t>
  </si>
  <si>
    <t>32.46065934065934</t>
  </si>
  <si>
    <t>460</t>
  </si>
  <si>
    <t>240</t>
  </si>
  <si>
    <t>MKT_LLP [林丽平]</t>
  </si>
  <si>
    <t>saraimorenos@hotmail.com</t>
  </si>
  <si>
    <t>2023-11-21 19:31:40</t>
  </si>
  <si>
    <t>YT2332421272194932</t>
  </si>
  <si>
    <t>2020-10-19 18:36:40</t>
  </si>
  <si>
    <t>1128</t>
  </si>
  <si>
    <t>Gibobby Blazer mujer casual Abrigos para mujer trajes para mujer chamarra de trabajo de manga larga Gibobby</t>
  </si>
  <si>
    <t>460.0g/0.0m3</t>
  </si>
  <si>
    <t>524232500160</t>
  </si>
  <si>
    <t>2020-10-16 11:56:36.0</t>
  </si>
  <si>
    <t>BAJA CALIFORNIA</t>
  </si>
  <si>
    <t>2023-11-20 10:10:03</t>
  </si>
  <si>
    <t>2023-11-21 10:22:19</t>
  </si>
  <si>
    <t>2023-11-20 11:12:46</t>
  </si>
  <si>
    <t>2023-11-20 12:10:14</t>
  </si>
  <si>
    <t>LXJ1024Jwt4ss5t</t>
  </si>
  <si>
    <t>LLP201015146WHXL</t>
  </si>
  <si>
    <t>女士长袖纽扣纯色西装外套 白色 XL</t>
  </si>
  <si>
    <t>377</t>
  </si>
  <si>
    <t>29.07934065934066</t>
  </si>
  <si>
    <t>215</t>
  </si>
  <si>
    <t>MKT_XMX [肖美霞]</t>
  </si>
  <si>
    <t>264</t>
  </si>
  <si>
    <t>Gibobby Blazer de mujer elegante Chaquetas blazer largo para mujer estilo casual para negocios para Gibobby</t>
  </si>
  <si>
    <t>2020-10-16 11:47:37.0</t>
  </si>
  <si>
    <t>LXJ1024Jwt4sDkd</t>
  </si>
  <si>
    <t>2023-11-20 10:44:41</t>
  </si>
  <si>
    <t>家居装饰</t>
  </si>
  <si>
    <t>Desktop Ornament 桌面摆件</t>
  </si>
  <si>
    <t>796917215</t>
  </si>
  <si>
    <t>P117019365</t>
  </si>
  <si>
    <t>HHQ210929001</t>
  </si>
  <si>
    <t>yD2110圣诞节充气户外摆件 圣诞装饰</t>
  </si>
  <si>
    <t>892</t>
  </si>
  <si>
    <t>877</t>
  </si>
  <si>
    <t>133.8 MXN</t>
  </si>
  <si>
    <t>115.0</t>
  </si>
  <si>
    <t>102.51</t>
  </si>
  <si>
    <t>760</t>
  </si>
  <si>
    <t>ortizmaricruz907@gmail.com</t>
  </si>
  <si>
    <t>2023-11-24 20:18:49</t>
  </si>
  <si>
    <t>PMC_Lizhiwe [李志维]</t>
  </si>
  <si>
    <t>AD_YLY [余里]</t>
  </si>
  <si>
    <t>YT2332421272197635</t>
  </si>
  <si>
    <t>2021-10-07 18:17:48</t>
  </si>
  <si>
    <t>大浪仓库</t>
  </si>
  <si>
    <t>Gibobby Noche de Navidad 1,8 M al libre Santa juguetes arreglo muñeca inflable decoración jardín Merry Props Navidad(Red)</t>
  </si>
  <si>
    <t>普通产品 -&gt; Home &amp; Garden -&gt; 家居装饰</t>
  </si>
  <si>
    <t>802.0g/0.0m3</t>
  </si>
  <si>
    <t>524232402411</t>
  </si>
  <si>
    <t>2021-09-29 15:08:44.0</t>
  </si>
  <si>
    <t>8</t>
  </si>
  <si>
    <t>GUANAJUATO</t>
  </si>
  <si>
    <t>2023-11-20 11:10:03</t>
  </si>
  <si>
    <t>2023-11-24 20:08:28</t>
  </si>
  <si>
    <t>2023-11-20 11:15:09</t>
  </si>
  <si>
    <t>2023-11-24 14:37:12</t>
  </si>
  <si>
    <t>005632</t>
  </si>
  <si>
    <t>LXJa1115bMg7ct1lJ</t>
  </si>
  <si>
    <t>2023-11-20 13:35:56</t>
  </si>
  <si>
    <t>796921859</t>
  </si>
  <si>
    <t>P117029408</t>
  </si>
  <si>
    <t>XTT220919007BGM</t>
  </si>
  <si>
    <t>女士短款亮面免洗羽绒棉宽松马甲 米色 M</t>
  </si>
  <si>
    <t>1616</t>
  </si>
  <si>
    <t>121.2 MXN</t>
  </si>
  <si>
    <t>73.0</t>
  </si>
  <si>
    <t>65.43</t>
  </si>
  <si>
    <t>1072</t>
  </si>
  <si>
    <t>530</t>
  </si>
  <si>
    <t>derexo_barron@hotmail.com</t>
  </si>
  <si>
    <t>2023-11-26 17:13:10</t>
  </si>
  <si>
    <t>YT2332421272293646</t>
  </si>
  <si>
    <t>2022-09-20 18:28:35</t>
  </si>
  <si>
    <t>Gibobby Chalecos casuales para mujer, Chaleco acolchado para mujer, con un bolsillo interior, cuello Gibobby</t>
  </si>
  <si>
    <t>1072.0g/0.0m3</t>
  </si>
  <si>
    <t>887236602478</t>
  </si>
  <si>
    <t>2022-09-19 10:24:00.0</t>
  </si>
  <si>
    <t>2023-11-20 14:10:03</t>
  </si>
  <si>
    <t>2023-11-26 15:57:53</t>
  </si>
  <si>
    <t>2023-11-20 14:12:06</t>
  </si>
  <si>
    <t>2023-11-25 22:10:03</t>
  </si>
  <si>
    <t>LXJ1010vilieUZM</t>
  </si>
  <si>
    <t>XTT220919007BKM</t>
  </si>
  <si>
    <t>女士短款亮面免洗羽绒棉宽松马甲 黑色 M</t>
  </si>
  <si>
    <t>75.0</t>
  </si>
  <si>
    <t>Gibobby Chaleco mujer casual, Chaleco Acolchado para Mujer Chaleco de Forro Polar para Mujer(Negro,M Gibobby</t>
  </si>
  <si>
    <t>LXJ1010viliexA2</t>
  </si>
  <si>
    <t>2023-11-21 01:08:46</t>
  </si>
  <si>
    <t>796942876</t>
  </si>
  <si>
    <t>P117038341</t>
  </si>
  <si>
    <t>JUN221012005DYL</t>
  </si>
  <si>
    <t>女士秋冬宽松上衣纯色落肩袖无帽套头运动衫卫衣 深灰色 L</t>
  </si>
  <si>
    <t>343</t>
  </si>
  <si>
    <t>51.45 MXN</t>
  </si>
  <si>
    <t>24.0</t>
  </si>
  <si>
    <t>284</t>
  </si>
  <si>
    <t>276</t>
  </si>
  <si>
    <t>lilifosado@gmail.com</t>
  </si>
  <si>
    <t>2023-11-21 13:29:53</t>
  </si>
  <si>
    <t>YT2332521272054846</t>
  </si>
  <si>
    <t>2022-10-13 18:14:32</t>
  </si>
  <si>
    <t>403</t>
  </si>
  <si>
    <t>Gibobby Sudaderas para Mujer Sudadera de Forro Polar con Cuello Redondo Sudadera para Mujer(Gris osc Gibobby</t>
  </si>
  <si>
    <t>284.0g/0.0m3</t>
  </si>
  <si>
    <t>524234002300</t>
  </si>
  <si>
    <t>2022-10-13 13:59:24.0</t>
  </si>
  <si>
    <t>2023-11-21 02:10:03</t>
  </si>
  <si>
    <t>2023-11-21 13:21:35</t>
  </si>
  <si>
    <t>2023-11-21 08:43:37</t>
  </si>
  <si>
    <t>2023-11-21 09:02:05</t>
  </si>
  <si>
    <t>LXJ1016gSFymTW7</t>
  </si>
  <si>
    <t>2023-11-21 02:01:13</t>
  </si>
  <si>
    <t>配饰/泳衣/瑜伽/内衣/裤子/其他</t>
  </si>
  <si>
    <t>Bra 文胸</t>
  </si>
  <si>
    <t>796945286</t>
  </si>
  <si>
    <t>P117043346</t>
  </si>
  <si>
    <t>DMJ231012004BKB</t>
  </si>
  <si>
    <t>女士怀孕期舒适无钢圈痕产前开扣哺母乳文胸罩围蕾丝边防后走光文胸内衣 黑色 B</t>
  </si>
  <si>
    <t>285</t>
  </si>
  <si>
    <t>45 MXN</t>
  </si>
  <si>
    <t>26.5</t>
  </si>
  <si>
    <t>22.459090909090907</t>
  </si>
  <si>
    <t>250</t>
  </si>
  <si>
    <t>122</t>
  </si>
  <si>
    <t>MKT_DMJ [邓美娟]</t>
  </si>
  <si>
    <t>alma.campos.devasquez@hotmail.com</t>
  </si>
  <si>
    <t>2023-11-25 19:34:17</t>
  </si>
  <si>
    <t>tianqiu [田秋]</t>
  </si>
  <si>
    <t>YT2332521272058483</t>
  </si>
  <si>
    <t>2023-10-13 18:28:32</t>
  </si>
  <si>
    <t>43</t>
  </si>
  <si>
    <t>Gibobby Brasier Deportivo Mujer Sujetador de lactancia sin para mujer con cierre frontal de doble ap Gibobby</t>
  </si>
  <si>
    <t>普通产品 -&gt; Clothing Shoes &amp; Accessories -&gt; 配饰/泳衣/瑜伽/内衣/裤子/其他</t>
  </si>
  <si>
    <t>250.0g/0.0m3</t>
  </si>
  <si>
    <t>524234102137</t>
  </si>
  <si>
    <t>2023-10-13 16:23:49.0</t>
  </si>
  <si>
    <t>2023-11-21 03:10:04</t>
  </si>
  <si>
    <t>2023-11-25 17:24:44</t>
  </si>
  <si>
    <t>2023-11-24 14:10:05</t>
  </si>
  <si>
    <t>LXJ1109abEmLU073</t>
  </si>
  <si>
    <t>DMJ231012004PKB</t>
  </si>
  <si>
    <t>女士怀孕期舒适无钢圈痕产前开扣哺母乳文胸罩围蕾丝边防后走光文胸内衣 粉色 B</t>
  </si>
  <si>
    <t>22.09090909090909</t>
  </si>
  <si>
    <t>120</t>
  </si>
  <si>
    <t>LXJ1109abEmLUHS5</t>
  </si>
  <si>
    <t>2023-11-21 04:18:12</t>
  </si>
  <si>
    <t>Women's Parkas 女士棉服3</t>
  </si>
  <si>
    <t>796950368</t>
  </si>
  <si>
    <t>P117050379</t>
  </si>
  <si>
    <t>HJA200924692S</t>
  </si>
  <si>
    <t>381038TT-3057 女士加肥加大码棉服加厚外套马甲背心 S</t>
  </si>
  <si>
    <t>493</t>
  </si>
  <si>
    <t>76.2 MXN</t>
  </si>
  <si>
    <t>64.17</t>
  </si>
  <si>
    <t>466</t>
  </si>
  <si>
    <t>alonzoo.2609@gmail.com</t>
  </si>
  <si>
    <t>2023-11-21 14:48:00</t>
  </si>
  <si>
    <t>YT2332521272058484</t>
  </si>
  <si>
    <t>2020-09-25 18:39:15</t>
  </si>
  <si>
    <t>1151</t>
  </si>
  <si>
    <t>Gibobby Chaleco de invierno, Chaleco Acolchado Largo para Mujeres, Elegante Chaqueta sin Mangas de I Gibobby</t>
  </si>
  <si>
    <t>488.0g/0.0m3</t>
  </si>
  <si>
    <t>524234306036</t>
  </si>
  <si>
    <t>2020-09-24 15:28:11.0</t>
  </si>
  <si>
    <t>2023-11-21 05:10:03</t>
  </si>
  <si>
    <t>2023-11-21 13:24:58</t>
  </si>
  <si>
    <t>2023-11-21 09:02:18</t>
  </si>
  <si>
    <t>LXJ1010KfJ4ISEa</t>
  </si>
  <si>
    <t>2023-11-21 04:03:27</t>
  </si>
  <si>
    <t>Women's Hoodies &amp; Sweatshirts 女士连帽卫衣3</t>
  </si>
  <si>
    <t>796950369</t>
  </si>
  <si>
    <t>P117049476</t>
  </si>
  <si>
    <t>ZYT200928494BKL</t>
  </si>
  <si>
    <t>女士休闲堆堆领印花连帽卫衣长袖上衣 黑色 L</t>
  </si>
  <si>
    <t>396</t>
  </si>
  <si>
    <t>381</t>
  </si>
  <si>
    <t>59.4 MXN</t>
  </si>
  <si>
    <t>23.0</t>
  </si>
  <si>
    <t>56.09</t>
  </si>
  <si>
    <t>402</t>
  </si>
  <si>
    <t>fco.anzaldua@gmail.com</t>
  </si>
  <si>
    <t>2023-11-21 10:59:24</t>
  </si>
  <si>
    <t>YT2332521272058487</t>
  </si>
  <si>
    <t>2020-09-29 18:53:30</t>
  </si>
  <si>
    <t>1147</t>
  </si>
  <si>
    <t>Gibobby Sudadera mujer, Sudadera con Capucha de Forro Polar, Sudadera con Capucha para Mujer(Negro,G Gibobby</t>
  </si>
  <si>
    <t>402.0g/0.0m3</t>
  </si>
  <si>
    <t>524234206519</t>
  </si>
  <si>
    <t>2020-09-28 13:52:42.0</t>
  </si>
  <si>
    <t>2023-11-21 10:40:40</t>
  </si>
  <si>
    <t>2023-11-21 09:02:14</t>
  </si>
  <si>
    <t>LXJ1012hSsN99mE</t>
  </si>
  <si>
    <t>2023-11-21 06:35:29</t>
  </si>
  <si>
    <t>796955044</t>
  </si>
  <si>
    <t>P117061284</t>
  </si>
  <si>
    <t>CLM201127285BUM</t>
  </si>
  <si>
    <t>女士冬季连帽外套 蓝色 M</t>
  </si>
  <si>
    <t>66.9 MXN</t>
  </si>
  <si>
    <t>31.95</t>
  </si>
  <si>
    <t>35.5</t>
  </si>
  <si>
    <t>54.96</t>
  </si>
  <si>
    <t>MKT_CLM [陈腊梅]</t>
  </si>
  <si>
    <t>giovanna.ypm@gmail.com</t>
  </si>
  <si>
    <t>2023-11-21 15:49:17</t>
  </si>
  <si>
    <t>公共美工 []</t>
  </si>
  <si>
    <t>YT2332521272058485</t>
  </si>
  <si>
    <t>2020-12-04 18:49:19</t>
  </si>
  <si>
    <t>1081</t>
  </si>
  <si>
    <t>Gibobby Abrigos de mujer, Abrigo de Mujer Chaqueta de Felpa Fleece Casual a Cuadros Abrigo de Invier Gibobby</t>
  </si>
  <si>
    <t>390.0g/0.0m3</t>
  </si>
  <si>
    <t>461234303221</t>
  </si>
  <si>
    <t>2020-12-04 15:23:42.0</t>
  </si>
  <si>
    <t>2023-11-21 07:10:04</t>
  </si>
  <si>
    <t>2023-11-21 13:53:04</t>
  </si>
  <si>
    <t>2023-11-21 09:02:21</t>
  </si>
  <si>
    <t>LXJ10118cXK1BWX</t>
  </si>
  <si>
    <t>2023-11-21 07:52:29</t>
  </si>
  <si>
    <t>796956769</t>
  </si>
  <si>
    <t>P117067740</t>
  </si>
  <si>
    <t>ZTY230908003COM</t>
  </si>
  <si>
    <t>男士长袖薄绒毛衣针织上衣 咖啡色 M</t>
  </si>
  <si>
    <t>361</t>
  </si>
  <si>
    <t>54.15 MXN</t>
  </si>
  <si>
    <t>44.62</t>
  </si>
  <si>
    <t>280</t>
  </si>
  <si>
    <t>266</t>
  </si>
  <si>
    <t>MKT_ZTY [郑彤粤]</t>
  </si>
  <si>
    <t>yessi_1311@live.com.mx</t>
  </si>
  <si>
    <t>2023-11-21 13:26:47</t>
  </si>
  <si>
    <t>YT2332521272058486</t>
  </si>
  <si>
    <t>2023-09-08 18:24:55</t>
  </si>
  <si>
    <t>73</t>
  </si>
  <si>
    <t>Gibobby Suéter cuello alto hombre Ligero Manga Larga Cuello Alto suéter Chamarra para Hombre(Café,M) Gibobby</t>
  </si>
  <si>
    <t>280.0g/0.0m3</t>
  </si>
  <si>
    <t>890237101923</t>
  </si>
  <si>
    <t>2023-09-08 16:00:19.0</t>
  </si>
  <si>
    <t>2023-11-21 08:10:03</t>
  </si>
  <si>
    <t>2023-11-21 13:04:21</t>
  </si>
  <si>
    <t>2023-11-21 09:02:19</t>
  </si>
  <si>
    <t>LXJ1025lN2juuFy</t>
  </si>
  <si>
    <t>2023-11-21 08:59:03</t>
  </si>
  <si>
    <t>796958701</t>
  </si>
  <si>
    <t>P117073821</t>
  </si>
  <si>
    <t>HKX210821026PKL</t>
  </si>
  <si>
    <t>mama女士休闲印花长袖连帽卫衣 粉色 L</t>
  </si>
  <si>
    <t>289</t>
  </si>
  <si>
    <t>274</t>
  </si>
  <si>
    <t>43.35 MXN</t>
  </si>
  <si>
    <t>14.0</t>
  </si>
  <si>
    <t>52.11</t>
  </si>
  <si>
    <t>MKT_HKX [黄凯昕]</t>
  </si>
  <si>
    <t>abraham.carmona27@gmail.com</t>
  </si>
  <si>
    <t>2023-11-26 09:14:06</t>
  </si>
  <si>
    <t>liuxiaoxia [刘晓霞]</t>
  </si>
  <si>
    <t>YT2332521272186098</t>
  </si>
  <si>
    <t>2021-08-23 18:20:01</t>
  </si>
  <si>
    <t>Gibobby Sudadera con cierre mujer, Sudadera con Capucha Sudadera con Capucha para Mujer(Rosa,G) Gibobby</t>
  </si>
  <si>
    <t>322.0g/0.0m3</t>
  </si>
  <si>
    <t>460234501754</t>
  </si>
  <si>
    <t>2021-08-21 13:01:14.0</t>
  </si>
  <si>
    <t>2023-11-21 09:10:03</t>
  </si>
  <si>
    <t>2023-11-26 08:59:23</t>
  </si>
  <si>
    <t>2023-11-21 11:45:30</t>
  </si>
  <si>
    <t>2023-11-26 08:33:45</t>
  </si>
  <si>
    <t>LXJ1012mCzFAeDj</t>
  </si>
  <si>
    <t>2023-11-21 08:44:09</t>
  </si>
  <si>
    <t>796958702</t>
  </si>
  <si>
    <t>P117072480</t>
  </si>
  <si>
    <t>ZZS221021014NYL</t>
  </si>
  <si>
    <t>男士冬季休闲健身连帽圆点卫衣运动衫 藏青 L</t>
  </si>
  <si>
    <t>363</t>
  </si>
  <si>
    <t>54.45 MXN</t>
  </si>
  <si>
    <t>42.52</t>
  </si>
  <si>
    <t>利润过低,无法出库</t>
  </si>
  <si>
    <t>312</t>
  </si>
  <si>
    <t>296</t>
  </si>
  <si>
    <t>MKT_ZZS [周松]</t>
  </si>
  <si>
    <t>alejandra.munoz1981@gmail.com</t>
  </si>
  <si>
    <t>2023-11-21 16:57:58</t>
  </si>
  <si>
    <t>LJ002345525CN</t>
  </si>
  <si>
    <t>395</t>
  </si>
  <si>
    <t>Gibobby Sudaderas de hombre Sudadera con Capucha con Cierre Completa Teddy Sudadera para Hombre(Mari Gibobby</t>
  </si>
  <si>
    <t>312.0g/0.0m3</t>
  </si>
  <si>
    <t>525232402202</t>
  </si>
  <si>
    <t>2023-11-21 15:30:49</t>
  </si>
  <si>
    <t>2023-11-21 11:49:40</t>
  </si>
  <si>
    <t>2023-11-21 12:02:03</t>
  </si>
  <si>
    <t>LXJ1025fLFSpQop</t>
  </si>
  <si>
    <t>2023-11-21 13:31:46</t>
  </si>
  <si>
    <t>Women's Legging 女士打底裤</t>
  </si>
  <si>
    <t>796967265</t>
  </si>
  <si>
    <t>P117101632</t>
  </si>
  <si>
    <t>BYL230830011BKL</t>
  </si>
  <si>
    <t>女士外穿假透肉透肤打底裤连脚加绒一体裤光腿加厚连裤袜 黑色 L</t>
  </si>
  <si>
    <t>270</t>
  </si>
  <si>
    <t>42.75 MXN</t>
  </si>
  <si>
    <t>14.7</t>
  </si>
  <si>
    <t>40.65</t>
  </si>
  <si>
    <t>290</t>
  </si>
  <si>
    <t>manini_1991@hotmail.com</t>
  </si>
  <si>
    <t>2023-11-29 09:32:59</t>
  </si>
  <si>
    <t>LJ002348955CN</t>
  </si>
  <si>
    <t>2023-09-04 18:38:03</t>
  </si>
  <si>
    <t>85</t>
  </si>
  <si>
    <t>Gibobby Leggings afelpados para mujer Ropa de abrigo para mujer Leggings más pantalones deportivos c Gibobby</t>
  </si>
  <si>
    <t>290.0g/0.0m3</t>
  </si>
  <si>
    <t>889236806948</t>
  </si>
  <si>
    <t>2023-09-02 17:26:59.0</t>
  </si>
  <si>
    <t>2023-11-21 14:10:04</t>
  </si>
  <si>
    <t>2023-11-29 08:57:34</t>
  </si>
  <si>
    <t>2023-11-21 14:24:15</t>
  </si>
  <si>
    <t>2023-11-29 07:40:07</t>
  </si>
  <si>
    <t>LXJ1116aImXRoMwZ</t>
  </si>
  <si>
    <t>2023-11-21 23:55:05</t>
  </si>
  <si>
    <t>796984524</t>
  </si>
  <si>
    <t>P117107966</t>
  </si>
  <si>
    <t>WJY210818101KHXL</t>
  </si>
  <si>
    <t>女士长袖修身外套小西装 卡其色 XL</t>
  </si>
  <si>
    <t>448</t>
  </si>
  <si>
    <t>433</t>
  </si>
  <si>
    <t>67.2 MXN</t>
  </si>
  <si>
    <t>33.0</t>
  </si>
  <si>
    <t>54.84</t>
  </si>
  <si>
    <t>MKT_FYL [梁方云]</t>
  </si>
  <si>
    <t>aricisneroshernandez@gmail.com</t>
  </si>
  <si>
    <t>2023-11-23 17:08:32</t>
  </si>
  <si>
    <t>licaiyue [李彩月]</t>
  </si>
  <si>
    <t>AD_LIZ [李忠诚]</t>
  </si>
  <si>
    <t>YT2332621272053152</t>
  </si>
  <si>
    <t>2021-08-19 18:19:43</t>
  </si>
  <si>
    <t>825</t>
  </si>
  <si>
    <t>MKT_LJD [黎锦东]</t>
  </si>
  <si>
    <t>Gibobby Blazer de mujer casual Abrigos para mujer trajes para mujer chamarra de trabajo de manga lar Gibobby</t>
  </si>
  <si>
    <t>348.0g/0.0m3</t>
  </si>
  <si>
    <t>891235700151</t>
  </si>
  <si>
    <t>2021-08-18 18:13:25.0</t>
  </si>
  <si>
    <t>2023-11-22 00:10:04</t>
  </si>
  <si>
    <t>2023-11-23 16:52:42</t>
  </si>
  <si>
    <t>2023-11-22 08:36:05</t>
  </si>
  <si>
    <t>2023-11-23 16:29:22</t>
  </si>
  <si>
    <t>LXJ1024R4xzuRXK</t>
  </si>
  <si>
    <t>2023-11-22 06:45:54</t>
  </si>
  <si>
    <t>797006672</t>
  </si>
  <si>
    <t>P117126190</t>
  </si>
  <si>
    <t>CCJ210901724BUM</t>
  </si>
  <si>
    <t>女士拼接连帽拉链口袋毛绒卫衣外套 蓝色 M</t>
  </si>
  <si>
    <t>61.56</t>
  </si>
  <si>
    <t>412</t>
  </si>
  <si>
    <t>382</t>
  </si>
  <si>
    <t>MKT_CCJ [陈灿嘉]</t>
  </si>
  <si>
    <t>eveliamoc@yahoo.com.mx</t>
  </si>
  <si>
    <t>2023-11-23 09:19:53</t>
  </si>
  <si>
    <t>PD_Liuxueying [刘雪英]</t>
  </si>
  <si>
    <t>YT2332621272124211</t>
  </si>
  <si>
    <t>2021-09-02 18:28:20</t>
  </si>
  <si>
    <t>811</t>
  </si>
  <si>
    <t>Gibobby Chamarra mujer, Chamarra para mujer a la moda, chamarra de invierno de manga larga para muje Gibobby</t>
  </si>
  <si>
    <t>412.0g/0.0m3</t>
  </si>
  <si>
    <t>525234500057</t>
  </si>
  <si>
    <t>2021-09-01 15:04:14.0</t>
  </si>
  <si>
    <t>2023-11-22 10:10:04</t>
  </si>
  <si>
    <t>2023-11-23 09:12:49</t>
  </si>
  <si>
    <t>2023-11-22 10:17:32</t>
  </si>
  <si>
    <t>2023-11-23 08:05:16</t>
  </si>
  <si>
    <t>LXJ10110MRnf1Qy</t>
  </si>
  <si>
    <t>2023-11-22 10:40:43</t>
  </si>
  <si>
    <t>797008320</t>
  </si>
  <si>
    <t>P117129904</t>
  </si>
  <si>
    <t>ZXQ220629001BK</t>
  </si>
  <si>
    <t>女士防外扩内衣聚拢调整型上衣无钢圈聚拢性感蕾丝文胸 黑色</t>
  </si>
  <si>
    <t>367</t>
  </si>
  <si>
    <t>154</t>
  </si>
  <si>
    <t>27.52 MXN</t>
  </si>
  <si>
    <t>6.3</t>
  </si>
  <si>
    <t>11.66923076923077</t>
  </si>
  <si>
    <t>104</t>
  </si>
  <si>
    <t>40</t>
  </si>
  <si>
    <t>MKT_ZXQ [张兴秋]</t>
  </si>
  <si>
    <t>dianatorres.a@hotmail.com</t>
  </si>
  <si>
    <t>2023-11-26 15:10:00</t>
  </si>
  <si>
    <t>PD_Zhouweiwei [周伟伟]</t>
  </si>
  <si>
    <t>YT2332621272168327</t>
  </si>
  <si>
    <t>2022-06-30 18:43:09</t>
  </si>
  <si>
    <t>Gibobby Brasier deportivo para mujer Ropa interior antiexpansión para mujer Push Up Top ajustable Si Gibobby</t>
  </si>
  <si>
    <t>104.0g/0.0m3</t>
  </si>
  <si>
    <t>891235400192</t>
  </si>
  <si>
    <t>2022-06-29 16:40:29.0</t>
  </si>
  <si>
    <t>2023-11-22 11:10:04</t>
  </si>
  <si>
    <t>2023-11-26 10:26:34</t>
  </si>
  <si>
    <t>2023-11-22 11:19:51</t>
  </si>
  <si>
    <t>2023-11-25 17:10:05</t>
  </si>
  <si>
    <t>LXJ1120bAIMlNhyv</t>
  </si>
  <si>
    <t>DMJ231106009BKC</t>
  </si>
  <si>
    <t>女士纯色交叉美背无钢圈无痕聚拢调整薄上托性感露背文胸罩 黑色 C</t>
  </si>
  <si>
    <t>183</t>
  </si>
  <si>
    <t>9.0</t>
  </si>
  <si>
    <t>18.67076923076923</t>
  </si>
  <si>
    <t>64</t>
  </si>
  <si>
    <t>2023-11-06 18:38:30</t>
  </si>
  <si>
    <t>19</t>
  </si>
  <si>
    <t>Gibobby Brasieres Comodos Para Mujer Sujetador transparente push up con correa sin espalda y sin par Gibobby</t>
  </si>
  <si>
    <t>2023-11-06 14:54:54.0</t>
  </si>
  <si>
    <t>LXJ1109aQ4IY1Ku7</t>
  </si>
  <si>
    <t>2023-11-22 11:26:56</t>
  </si>
  <si>
    <t>Hangs 挂件</t>
  </si>
  <si>
    <t>797009844</t>
  </si>
  <si>
    <t>P117132261</t>
  </si>
  <si>
    <t>ZAX221129002</t>
  </si>
  <si>
    <t>6cm桶装圣诞球玫瑰金色系彩球挂件</t>
  </si>
  <si>
    <t>339</t>
  </si>
  <si>
    <t>324</t>
  </si>
  <si>
    <t>50.85 MXN</t>
  </si>
  <si>
    <t>31.85</t>
  </si>
  <si>
    <t>43.71</t>
  </si>
  <si>
    <t>326</t>
  </si>
  <si>
    <t>MKT_ZAX [周艾欣]</t>
  </si>
  <si>
    <t>sofy.he13@gmail.com</t>
  </si>
  <si>
    <t>2023-11-22 17:10:13</t>
  </si>
  <si>
    <t>hetingting [何婷婷]</t>
  </si>
  <si>
    <t>AD_HFQ [黄风琴]</t>
  </si>
  <si>
    <t>LJ002377903CN</t>
  </si>
  <si>
    <t>2022-12-03 12:22:38</t>
  </si>
  <si>
    <t>354</t>
  </si>
  <si>
    <t>MKT_FJC [樊景春]</t>
  </si>
  <si>
    <t>Gibobby de Navidad de barril de 6cm, artículos decorativos de Navidad, de Navidad en polvo, colgante de vacaciones de 30 piezas, casa decorativa (Gold)</t>
  </si>
  <si>
    <t>326.0g/0.0m3</t>
  </si>
  <si>
    <t>891235403058</t>
  </si>
  <si>
    <t>2022-11-29 14:18:49.0</t>
  </si>
  <si>
    <t>VERACRUZ</t>
  </si>
  <si>
    <t>2023-11-22 12:10:04</t>
  </si>
  <si>
    <t>2023-11-22 15:59:03</t>
  </si>
  <si>
    <t>2023-11-22 13:41:48</t>
  </si>
  <si>
    <t>2023-11-22 14:02:05</t>
  </si>
  <si>
    <t>user_YYG [杨燕格]</t>
  </si>
  <si>
    <t>000842</t>
  </si>
  <si>
    <t>AD_ZBW [郑炳维]</t>
  </si>
  <si>
    <t>006152</t>
  </si>
  <si>
    <t>LXJ1113bRlaAi9u1</t>
  </si>
  <si>
    <t>2023-11-25 03:40:54</t>
  </si>
  <si>
    <t>797143586</t>
  </si>
  <si>
    <t>P117169605</t>
  </si>
  <si>
    <t>AYK230714018RDM</t>
  </si>
  <si>
    <t>针织衫 红色 M</t>
  </si>
  <si>
    <t>543</t>
  </si>
  <si>
    <t>528</t>
  </si>
  <si>
    <t>81.45 MXN</t>
  </si>
  <si>
    <t>69.75</t>
  </si>
  <si>
    <t>490</t>
  </si>
  <si>
    <t>MKT_AYK [杨凯]</t>
  </si>
  <si>
    <t>sol.sanzv90@gmail.com</t>
  </si>
  <si>
    <t>2023-11-29 19:56:44</t>
  </si>
  <si>
    <t>YT2332921272035685</t>
  </si>
  <si>
    <t>2023-07-19 14:26:08</t>
  </si>
  <si>
    <t>133</t>
  </si>
  <si>
    <t>Gibobby Suéter cuello alto hombre Suéter de punto con cuello de chal para hombre, cuello alto, ajust Gibobby</t>
  </si>
  <si>
    <t>490.0g/0.0m3</t>
  </si>
  <si>
    <t>894236400751</t>
  </si>
  <si>
    <t>2023-07-18 16:54:28.0</t>
  </si>
  <si>
    <t>COAHUILA</t>
  </si>
  <si>
    <t>2023-11-25 04:10:05</t>
  </si>
  <si>
    <t>2023-11-29 16:06:18</t>
  </si>
  <si>
    <t>2023-11-25 06:20:27</t>
  </si>
  <si>
    <t>2023-11-29 15:13:13</t>
  </si>
  <si>
    <t>LXJ10251DpgJxbc</t>
  </si>
  <si>
    <t>2023-11-26 00:26:32</t>
  </si>
  <si>
    <t>Men's Hoodless Sweatshirt 男士无帽卫衣</t>
  </si>
  <si>
    <t>797198171</t>
  </si>
  <si>
    <t>P117182199</t>
  </si>
  <si>
    <t>SFW210906312BKM</t>
  </si>
  <si>
    <t>男士圆领套头口袋长袖双面绒毛绒外套卫衣 黑色 M</t>
  </si>
  <si>
    <t>23.4</t>
  </si>
  <si>
    <t>26.0</t>
  </si>
  <si>
    <t>49.8</t>
  </si>
  <si>
    <t>302</t>
  </si>
  <si>
    <t>irving11.iea@gmail.com</t>
  </si>
  <si>
    <t>2023-11-26 16:48:02</t>
  </si>
  <si>
    <t>PD_Leiqiong [李莹]</t>
  </si>
  <si>
    <t>YT2333021272117690</t>
  </si>
  <si>
    <t>2021-09-08 18:07:11</t>
  </si>
  <si>
    <t>Gibobby Sudaderas y2k Sudadera de vellón de manga larga con cuello redondo para Hombre(Negro,M) Gibobby</t>
  </si>
  <si>
    <t>300.0g/0.0m3</t>
  </si>
  <si>
    <t>529233600583</t>
  </si>
  <si>
    <t>2021-09-06 22:40:05.0</t>
  </si>
  <si>
    <t>NAYARIT</t>
  </si>
  <si>
    <t>2023-11-26 01:10:04</t>
  </si>
  <si>
    <t>2023-11-26 16:22:58</t>
  </si>
  <si>
    <t>2023-11-26 13:24:05</t>
  </si>
  <si>
    <t>2023-11-26 13:42:02</t>
  </si>
  <si>
    <t>LXJ1024hwMbr7Hs</t>
  </si>
  <si>
    <t>0.401</t>
  </si>
  <si>
    <t>2023-11-26 01:57:52</t>
  </si>
  <si>
    <t>797201164</t>
  </si>
  <si>
    <t>P117183245</t>
  </si>
  <si>
    <t>CWA210830042PKXL</t>
  </si>
  <si>
    <t xml:space="preserve">女士休闲时尚印花长袖卫衣上衣 粉色 XL </t>
  </si>
  <si>
    <t>1367</t>
  </si>
  <si>
    <t>313</t>
  </si>
  <si>
    <t>51.26 MXN</t>
  </si>
  <si>
    <t>19.0</t>
  </si>
  <si>
    <t>18.393220338983053</t>
  </si>
  <si>
    <t>1078</t>
  </si>
  <si>
    <t>160</t>
  </si>
  <si>
    <t>2023-12-05 21:56:24</t>
  </si>
  <si>
    <t>YT2333021272117689</t>
  </si>
  <si>
    <t>2021-08-31 18:20:10</t>
  </si>
  <si>
    <t>826</t>
  </si>
  <si>
    <t>0.175</t>
  </si>
  <si>
    <t>Gibobby Casual Sudadera para Mujer Sudadera con cuello redondo para mujer atlético Y-2K(Rosa,XG) Gibobby</t>
  </si>
  <si>
    <t>1078.0g/0.0m3</t>
  </si>
  <si>
    <t>884235700411</t>
  </si>
  <si>
    <t>2021-08-30 17:35:05.0</t>
  </si>
  <si>
    <t>2023-11-26 02:10:04</t>
  </si>
  <si>
    <t>2023-12-05 15:51:57</t>
  </si>
  <si>
    <t>2023-12-05 09:10:03</t>
  </si>
  <si>
    <t>LXJ1016Ie0OLcHq</t>
  </si>
  <si>
    <t>CWA210825045BKL</t>
  </si>
  <si>
    <t xml:space="preserve">女士休闲拼接纯色印花长袖连帽卫衣上衣 黑色 L  </t>
  </si>
  <si>
    <t>28.0</t>
  </si>
  <si>
    <t>55.63949152542373</t>
  </si>
  <si>
    <t>2021-08-26 18:43:36</t>
  </si>
  <si>
    <t>831</t>
  </si>
  <si>
    <t>Gibobby Sudadera con cierre mujer, Ropa de otoño para adolescentes, sudadera de color, casual, con c Gibobby</t>
  </si>
  <si>
    <t>2021-08-25 21:29:34.0</t>
  </si>
  <si>
    <t>LXJ1012Ot9iBdGi</t>
  </si>
  <si>
    <t>CWA210830042PPXL</t>
  </si>
  <si>
    <t xml:space="preserve">女士休闲时尚印花长袖卫衣上衣 紫色 XL </t>
  </si>
  <si>
    <t>295</t>
  </si>
  <si>
    <t>20.33</t>
  </si>
  <si>
    <t>20.333</t>
  </si>
  <si>
    <t>28.27957627118644</t>
  </si>
  <si>
    <t>246</t>
  </si>
  <si>
    <t>Gibobby Sudadera oversize mujer Sudadera de Forro Polar Sudadera casual para Mujer(Morado,XG) Gibobby</t>
  </si>
  <si>
    <t>2021-08-30 17:35:07.0</t>
  </si>
  <si>
    <t>LXJ1016Ie0OLeLb</t>
  </si>
  <si>
    <t>PTW210915444RDXL</t>
  </si>
  <si>
    <t>HY1622 女式太阳图腾印花民族风长袖上衣高领抽绳连帽卫衣 红色 XL</t>
  </si>
  <si>
    <t>315</t>
  </si>
  <si>
    <t>33.337711864406785</t>
  </si>
  <si>
    <t>MKT_PTW [彭天文]</t>
  </si>
  <si>
    <t>2021-09-16 18:31:38</t>
  </si>
  <si>
    <t>810</t>
  </si>
  <si>
    <t>MKT_SCN [邵彩妮]</t>
  </si>
  <si>
    <t>Gibobby Sudadera con cierre mujer, Sudaderas casuales para mujer, capucha con cordón, sudadera con c Gibobby</t>
  </si>
  <si>
    <t>2021-09-15 23:11:17.0</t>
  </si>
  <si>
    <t>LXJ1012jUaFRO1g</t>
  </si>
  <si>
    <t>2023-11-26 05:11:55</t>
  </si>
  <si>
    <t>797212521</t>
  </si>
  <si>
    <t>P117186157</t>
  </si>
  <si>
    <t>LQR230817004BWM</t>
  </si>
  <si>
    <t>NO 女士秋冬新款宽松连帽套头卫衣时尚休闲长袖上衣 棕色 M</t>
  </si>
  <si>
    <t>311</t>
  </si>
  <si>
    <t>48.9 MXN</t>
  </si>
  <si>
    <t>52.95</t>
  </si>
  <si>
    <t>330</t>
  </si>
  <si>
    <t>MKT_LQR [刘庆荣]</t>
  </si>
  <si>
    <t>ijordan_arce@hotmail.com</t>
  </si>
  <si>
    <t>2023-11-29 17:36:45</t>
  </si>
  <si>
    <t>YT2333021272117692</t>
  </si>
  <si>
    <t>2023-08-23 18:45:47</t>
  </si>
  <si>
    <t>97</t>
  </si>
  <si>
    <t>Gibobby Sudadera para mujer, Sudaderas de Gran tamaño para Mujer Atlético Womens Sherpa Hoodie Fluff Gibobby</t>
  </si>
  <si>
    <t>330.0g/0.0m3</t>
  </si>
  <si>
    <t>895234900866</t>
  </si>
  <si>
    <t>2023-08-22 16:02:51.0</t>
  </si>
  <si>
    <t>SONORA</t>
  </si>
  <si>
    <t>2023-11-26 06:10:04</t>
  </si>
  <si>
    <t>2023-11-29 16:59:45</t>
  </si>
  <si>
    <t>2023-11-29 15:13:27</t>
  </si>
  <si>
    <t>LXJ1012wcWK2WLX</t>
  </si>
  <si>
    <t>2023-11-27 11:43:55</t>
  </si>
  <si>
    <t>797284939</t>
  </si>
  <si>
    <t>P117205514</t>
  </si>
  <si>
    <t>LQR230919001BKM</t>
  </si>
  <si>
    <t>女士时尚休闲圣诞节亮片长袖针织衫宽松套头圣诞树刺绣毛衣 黑色 M</t>
  </si>
  <si>
    <t>462</t>
  </si>
  <si>
    <t>447</t>
  </si>
  <si>
    <t>69.3 MXN</t>
  </si>
  <si>
    <t>60.09</t>
  </si>
  <si>
    <t>398</t>
  </si>
  <si>
    <t>goitanna04@gmail.com</t>
  </si>
  <si>
    <t>2023-12-04 09:40:41</t>
  </si>
  <si>
    <t>YT2333121272329097</t>
  </si>
  <si>
    <t>2023-09-20 18:26:11</t>
  </si>
  <si>
    <t>74</t>
  </si>
  <si>
    <t>Gibobby Suéter navideño mujer holgado de punto de manga larga con lentejuelas navideñas informales a Gibobby</t>
  </si>
  <si>
    <t>398.0g/0.0m3</t>
  </si>
  <si>
    <t>896237101240</t>
  </si>
  <si>
    <t>2023-09-20 15:07:00.0</t>
  </si>
  <si>
    <t>2023-11-27 12:10:04</t>
  </si>
  <si>
    <t>2023-12-04 09:29:41</t>
  </si>
  <si>
    <t>2023-11-27 13:43:38</t>
  </si>
  <si>
    <t>2023-12-04 07:56:49</t>
  </si>
  <si>
    <t>LXJ1103b0vToifRe</t>
  </si>
  <si>
    <t>0.40337</t>
  </si>
  <si>
    <t>2023-11-27 22:25:20</t>
  </si>
  <si>
    <t>797305216</t>
  </si>
  <si>
    <t>P117207813</t>
  </si>
  <si>
    <t>WYZ80910761</t>
  </si>
  <si>
    <t>圣诞节毛毡装饰 绵羊 N8032Z</t>
  </si>
  <si>
    <t>526</t>
  </si>
  <si>
    <t>128</t>
  </si>
  <si>
    <t>19.72 MXN</t>
  </si>
  <si>
    <t>8.5</t>
  </si>
  <si>
    <t>8.499</t>
  </si>
  <si>
    <t>11.568750000000001</t>
  </si>
  <si>
    <t>&lt;[潘燕(12-02)：预计12-4回271
]&gt;</t>
  </si>
  <si>
    <t>102</t>
  </si>
  <si>
    <t>30</t>
  </si>
  <si>
    <t>MKT_WYZ [伍瑜展]</t>
  </si>
  <si>
    <t>haymagly_2@hotmail.com</t>
  </si>
  <si>
    <t>2023-12-13 15:07:51</t>
  </si>
  <si>
    <t>AD_CXY [陈小颖]</t>
  </si>
  <si>
    <t>YT2333221272053970</t>
  </si>
  <si>
    <t>2018-09-10 09:51:55</t>
  </si>
  <si>
    <t>1920</t>
  </si>
  <si>
    <t>User_WDD [吴迪]</t>
  </si>
  <si>
    <t>wish_YJL [叶景炼]</t>
  </si>
  <si>
    <t>Gibobby Adorno de árbol colgante de Navidad colgante decoración de Navidad decoración del(Beige)</t>
  </si>
  <si>
    <t>102.0g/0.0m3</t>
  </si>
  <si>
    <t>531232901418</t>
  </si>
  <si>
    <t>2018-09-10 09:51:55.0</t>
  </si>
  <si>
    <t>2023-11-27 23:10:04</t>
  </si>
  <si>
    <t>2023-12-13 10:14:00</t>
  </si>
  <si>
    <t>2023-12-02 08:38:38</t>
  </si>
  <si>
    <t>2023-12-12 19:10:00</t>
  </si>
  <si>
    <t>LXJ1113dRy7kS2mQ</t>
  </si>
  <si>
    <t>FMF221020060A</t>
  </si>
  <si>
    <t>圣诞挂件 木色雪花</t>
  </si>
  <si>
    <t>105</t>
  </si>
  <si>
    <t>2.61</t>
  </si>
  <si>
    <t>2.613</t>
  </si>
  <si>
    <t>6.94125</t>
  </si>
  <si>
    <t>Ⓠ&lt;[李志维(12-12)：12-12回货2套，快递单号78750156122546
]&gt;</t>
  </si>
  <si>
    <t>18</t>
  </si>
  <si>
    <t>MKT_FMF [傅妙凤]</t>
  </si>
  <si>
    <t>2022-11-02 18:37:26</t>
  </si>
  <si>
    <t>405</t>
  </si>
  <si>
    <t>MKT_ZHM [朱海明]</t>
  </si>
  <si>
    <t>MKT_ZYW [钟有为]</t>
  </si>
  <si>
    <t>Gibobby 6 uds colgante de Navidad decoración árbol de Navidad decoración colgante Navidad muñeco de nieve viejo hombre colgante(A)</t>
  </si>
  <si>
    <t>2022-11-02 09:37:05.0</t>
  </si>
  <si>
    <t>LXJ1114aecqi0vS5</t>
  </si>
  <si>
    <t>2023-11-27 23:09:56</t>
  </si>
  <si>
    <t>797308326</t>
  </si>
  <si>
    <t>P117207920</t>
  </si>
  <si>
    <t>ZYT201130482BKL</t>
  </si>
  <si>
    <t>女士大码棉衣中长款修身时长袖棉服 黑色 L</t>
  </si>
  <si>
    <t>800</t>
  </si>
  <si>
    <t>122.25 MXN</t>
  </si>
  <si>
    <t>84.0</t>
  </si>
  <si>
    <t>104.4</t>
  </si>
  <si>
    <t>822</t>
  </si>
  <si>
    <t>opatosos@gmail.com</t>
  </si>
  <si>
    <t>2023-11-28 10:45:52</t>
  </si>
  <si>
    <t>sipai [思排]</t>
  </si>
  <si>
    <t>YT2333221272053966</t>
  </si>
  <si>
    <t>2020-12-01 18:47:22</t>
  </si>
  <si>
    <t>1091</t>
  </si>
  <si>
    <t>Gibobby Chamarra para mujer, Chaquetas de plumón para mujer, chamarra larga para mujer, portátil, li Gibobby</t>
  </si>
  <si>
    <t>820.0g/0.0m3</t>
  </si>
  <si>
    <t>521232901670</t>
  </si>
  <si>
    <t>2020-11-30 15:06:54.0</t>
  </si>
  <si>
    <t>2023-11-28 00:10:04</t>
  </si>
  <si>
    <t>2023-11-28 10:36:29</t>
  </si>
  <si>
    <t>2023-11-28 08:32:08</t>
  </si>
  <si>
    <t>2023-11-28 08:42:14</t>
  </si>
  <si>
    <t>LXJ1018lcP77JcF</t>
  </si>
  <si>
    <t>2023-11-28 07:42:37</t>
  </si>
  <si>
    <t>797337707</t>
  </si>
  <si>
    <t>P117216753</t>
  </si>
  <si>
    <t>CWA220906002RDM</t>
  </si>
  <si>
    <t>女士圣诞印花高腰紧身裤提臀健身运动打底裤瑜伽裤 红色 M</t>
  </si>
  <si>
    <t>254</t>
  </si>
  <si>
    <t>41.55 MXN</t>
  </si>
  <si>
    <t>17.0</t>
  </si>
  <si>
    <t>29.98363636363636</t>
  </si>
  <si>
    <t>180</t>
  </si>
  <si>
    <t>sara.nancy76@yahoo.com</t>
  </si>
  <si>
    <t>2023-12-08 18:55:40</t>
  </si>
  <si>
    <t>YT2333221272053969</t>
  </si>
  <si>
    <t>2022-09-07 18:24:10</t>
  </si>
  <si>
    <t>457</t>
  </si>
  <si>
    <t>Gibobby Leggins termicos mujer Leggings de para mujer Casual patrón navideño elástico cintura alta e Gibobby</t>
  </si>
  <si>
    <t>324.0g/0.0m3</t>
  </si>
  <si>
    <t>531234602523</t>
  </si>
  <si>
    <t>2022-09-06 17:06:10.0</t>
  </si>
  <si>
    <t>2023-11-28 08:10:03</t>
  </si>
  <si>
    <t>2023-12-08 10:49:47</t>
  </si>
  <si>
    <t>2023-12-07 22:10:03</t>
  </si>
  <si>
    <t>LXJ1108MLik9ql6</t>
  </si>
  <si>
    <t>YYD231019014NYM</t>
  </si>
  <si>
    <t>女士圣诞节雪花格子印花高腰紧身提臀健身运动瑜伽打底裤 藏青 M</t>
  </si>
  <si>
    <t>24.986363636363635</t>
  </si>
  <si>
    <t>150</t>
  </si>
  <si>
    <t>2023-10-20 18:24:07</t>
  </si>
  <si>
    <t>49</t>
  </si>
  <si>
    <t>Gibobby Leggings estampados para mujer Leggings de fitness con estampado de de nieve de Navidad para Gibobby</t>
  </si>
  <si>
    <t>2023-10-20 14:31:47.0</t>
  </si>
  <si>
    <t>LXJ1108Hc2aWJhh</t>
  </si>
  <si>
    <t>2023-11-28 10:21:49</t>
  </si>
  <si>
    <t>797348037</t>
  </si>
  <si>
    <t>P117220219</t>
  </si>
  <si>
    <t>ZTY220913006BKXL</t>
  </si>
  <si>
    <t>男士针织圆领毛衣 黑色 XL</t>
  </si>
  <si>
    <t>713</t>
  </si>
  <si>
    <t>106.95 MXN</t>
  </si>
  <si>
    <t>58.0</t>
  </si>
  <si>
    <t>86.76</t>
  </si>
  <si>
    <t>652</t>
  </si>
  <si>
    <t>doloresilliano@gmail.com</t>
  </si>
  <si>
    <t>2023-11-28 17:12:47</t>
  </si>
  <si>
    <t>YT2333221272217297</t>
  </si>
  <si>
    <t>2022-09-14 19:43:16</t>
  </si>
  <si>
    <t>439</t>
  </si>
  <si>
    <t>Gibobby Suéter ligero hombre Suéter de cuello redondo para hombre, casual, manga larga, color sólido Gibobby</t>
  </si>
  <si>
    <t>652.0g/0.0m3</t>
  </si>
  <si>
    <t>898234801915</t>
  </si>
  <si>
    <t>2022-09-13 16:54:55.0</t>
  </si>
  <si>
    <t>MORELOS</t>
  </si>
  <si>
    <t>2023-11-28 11:10:03</t>
  </si>
  <si>
    <t>2023-11-28 14:41:41</t>
  </si>
  <si>
    <t>2023-11-28 11:21:44</t>
  </si>
  <si>
    <t>2023-11-28 11:42:10</t>
  </si>
  <si>
    <t>LXJ1025624iBDJr</t>
  </si>
  <si>
    <t>2023-11-29 00:57:14</t>
  </si>
  <si>
    <t>797378199</t>
  </si>
  <si>
    <t>P117226184</t>
  </si>
  <si>
    <t>ZIH211108111</t>
  </si>
  <si>
    <t>球体LED灯照明圣诞饰品(25*25cm)</t>
  </si>
  <si>
    <t>27.0</t>
  </si>
  <si>
    <t>52.53</t>
  </si>
  <si>
    <t>MKT_ZIH [李志华]</t>
  </si>
  <si>
    <t>lugo.adriana@gmail.com</t>
  </si>
  <si>
    <t>2023-11-29 21:27:57</t>
  </si>
  <si>
    <t>PD_Lizhongqing [李忠庆]</t>
  </si>
  <si>
    <t>AD_HFL [胡芳玲]</t>
  </si>
  <si>
    <t>YT2333321272051500</t>
  </si>
  <si>
    <t>2021-11-10 18:24:28</t>
  </si>
  <si>
    <t>749</t>
  </si>
  <si>
    <t>MKT_LZM [李忠明]</t>
  </si>
  <si>
    <t>Gibobby Exhibición-Navidad Fiesta Esfera navideña Adornos Decoraciones navideñas Decoración y colgantes(Black)</t>
  </si>
  <si>
    <t>532233801559</t>
  </si>
  <si>
    <t>2021-11-08 16:34:36.0</t>
  </si>
  <si>
    <t>QUERETARO</t>
  </si>
  <si>
    <t>2023-11-29 01:10:04</t>
  </si>
  <si>
    <t>2023-11-29 08:33:10</t>
  </si>
  <si>
    <t>LXJ1114brdSF5WDJ</t>
  </si>
  <si>
    <t>被代发</t>
  </si>
  <si>
    <t>2023-11-29 06:43:13</t>
  </si>
  <si>
    <t>797394604</t>
  </si>
  <si>
    <t>P117231610</t>
  </si>
  <si>
    <t>HJA200924692L</t>
  </si>
  <si>
    <t>381038TT-3057 女士加肥加大码棉服加厚外套马甲背心 L</t>
  </si>
  <si>
    <t>569</t>
  </si>
  <si>
    <t>85.35 MXN</t>
  </si>
  <si>
    <t>39.9</t>
  </si>
  <si>
    <t>68.91</t>
  </si>
  <si>
    <t>482</t>
  </si>
  <si>
    <t>480</t>
  </si>
  <si>
    <t>letty_milliset_@hotmail.com</t>
  </si>
  <si>
    <t>2023-12-01 09:30:19</t>
  </si>
  <si>
    <t>YT2333321272051501</t>
  </si>
  <si>
    <t>1161</t>
  </si>
  <si>
    <t>Gibobby Chaleco de invierno, chamarra para mujer, cálido invierno con capucha, chaleco acolchado con Gibobby</t>
  </si>
  <si>
    <t>482.0g/0.0m3</t>
  </si>
  <si>
    <t>898236900737</t>
  </si>
  <si>
    <t>2023-11-29 07:10:04</t>
  </si>
  <si>
    <t>2023-12-01 09:01:29</t>
  </si>
  <si>
    <t>2023-12-01 07:42:50</t>
  </si>
  <si>
    <t>LXJ1010KfJ4IfPC</t>
  </si>
  <si>
    <t>2023-11-30 12:31:41</t>
  </si>
  <si>
    <t>797459340</t>
  </si>
  <si>
    <t>P117252149</t>
  </si>
  <si>
    <t>CMG220806006NYL</t>
  </si>
  <si>
    <t>男士秋冬纯色无帽拉链保暖开衫针织外套 藏青 L</t>
  </si>
  <si>
    <t>747</t>
  </si>
  <si>
    <t>732</t>
  </si>
  <si>
    <t>112.05 MXN</t>
  </si>
  <si>
    <t>55.0</t>
  </si>
  <si>
    <t>102.09</t>
  </si>
  <si>
    <t>798</t>
  </si>
  <si>
    <t>2023-11-30 16:34:09</t>
  </si>
  <si>
    <t>YT2333421272227929</t>
  </si>
  <si>
    <t>2022-08-08 18:14:38</t>
  </si>
  <si>
    <t>478</t>
  </si>
  <si>
    <t>Gibobby Sueter hombre manga larga Cárdigan con cierre para hombre, manga larga, cuello alto, ajuste Gibobby</t>
  </si>
  <si>
    <t>798.0g/0.0m3</t>
  </si>
  <si>
    <t>900235001578</t>
  </si>
  <si>
    <t>2022-08-06 17:11:38.0</t>
  </si>
  <si>
    <t>2023-11-30 13:10:03</t>
  </si>
  <si>
    <t>2023-11-30 16:26:50</t>
  </si>
  <si>
    <t>2023-11-30 13:41:22</t>
  </si>
  <si>
    <t>2023-11-30 14:02:07</t>
  </si>
  <si>
    <t>LXJ1030YIXOoFld</t>
  </si>
  <si>
    <t>2023-11-30 14:25:02</t>
  </si>
  <si>
    <t>797462569</t>
  </si>
  <si>
    <t>P117252783</t>
  </si>
  <si>
    <t>ZTY221019008BGM</t>
  </si>
  <si>
    <t>男士纯色花纹高领毛衣 米色 M</t>
  </si>
  <si>
    <t>1179</t>
  </si>
  <si>
    <t>88.42 MXN</t>
  </si>
  <si>
    <t>45.417428571428566</t>
  </si>
  <si>
    <t>1202</t>
  </si>
  <si>
    <t>guillermorood822@gmail.com</t>
  </si>
  <si>
    <t>2023-12-01 22:07:47</t>
  </si>
  <si>
    <t>YT2333421272275078</t>
  </si>
  <si>
    <t>2022-10-20 18:18:17</t>
  </si>
  <si>
    <t>407</t>
  </si>
  <si>
    <t>Gibobby Suéter para hombre Camisetas básicas de cuello alto para hombre, de ajuste delgado, de punto Gibobby</t>
  </si>
  <si>
    <t>1202.0g/0.0m3</t>
  </si>
  <si>
    <t>900235200672</t>
  </si>
  <si>
    <t>2022-10-20 16:22:01.0</t>
  </si>
  <si>
    <t>2023-11-30 15:10:03</t>
  </si>
  <si>
    <t>2023-12-01 15:56:11</t>
  </si>
  <si>
    <t>2023-11-30 15:14:42</t>
  </si>
  <si>
    <t>2023-11-30 16:10:18</t>
  </si>
  <si>
    <t>LXJ1025gBnU71Va</t>
  </si>
  <si>
    <t>WZH210928345BKL</t>
  </si>
  <si>
    <t>男士纯色亮面棉衣潮流反光宽松拉链连帽加厚棉服外套 黑色 L</t>
  </si>
  <si>
    <t>765</t>
  </si>
  <si>
    <t>60.0</t>
  </si>
  <si>
    <t>99.09257142857142</t>
  </si>
  <si>
    <t>840</t>
  </si>
  <si>
    <t>MKT_WZH [吴钊源]</t>
  </si>
  <si>
    <t>AD_LHB [李洪波]</t>
  </si>
  <si>
    <t>2021-09-29 18:18:19</t>
  </si>
  <si>
    <t>User_HQL [何钦麟]</t>
  </si>
  <si>
    <t>Gibobby Chamarra casual hombre chamarra resistente para hombre, manga larga, con cierre, capucha aju Gibobby</t>
  </si>
  <si>
    <t>2021-09-28 19:44:42.0</t>
  </si>
  <si>
    <t>801471</t>
  </si>
  <si>
    <t>LXJ1030aSKZMI2R</t>
  </si>
  <si>
    <t>2023-12-02 08:45:25</t>
  </si>
  <si>
    <t>797557177</t>
  </si>
  <si>
    <t>P117275293</t>
  </si>
  <si>
    <t>SFW230623005DBXL</t>
  </si>
  <si>
    <t>女士口袋纽扣印花长袖翻领西装外套 深蓝色  XL</t>
  </si>
  <si>
    <t>523</t>
  </si>
  <si>
    <t>78.45 MXN</t>
  </si>
  <si>
    <t>56.04</t>
  </si>
  <si>
    <t>334</t>
  </si>
  <si>
    <t>312.92</t>
  </si>
  <si>
    <t>valerie71218@icloud.com</t>
  </si>
  <si>
    <t>2023-12-11 22:06:22</t>
  </si>
  <si>
    <t>YT2333921272288759</t>
  </si>
  <si>
    <t>2023-06-28 18:18:13</t>
  </si>
  <si>
    <t>166</t>
  </si>
  <si>
    <t>Gibobby Blazer mujer casual Blazer ligero de gasa fina y de manga fruncida para mujer blazer de mang Gibobby</t>
  </si>
  <si>
    <t>334.0g/0.0m3</t>
  </si>
  <si>
    <t>888237101184</t>
  </si>
  <si>
    <t>2023-06-27 19:56:55.0</t>
  </si>
  <si>
    <t>2023-12-02 09:10:03</t>
  </si>
  <si>
    <t>2023-12-11 21:12:35</t>
  </si>
  <si>
    <t>2023-12-02 09:13:37</t>
  </si>
  <si>
    <t>2023-12-11 18:09:47</t>
  </si>
  <si>
    <t>LXJ1024r1ezPPjF</t>
  </si>
  <si>
    <t>2023-12-02 11:41:45</t>
  </si>
  <si>
    <t>797564330</t>
  </si>
  <si>
    <t>P117278581</t>
  </si>
  <si>
    <t>JUN220816003PPXL</t>
  </si>
  <si>
    <t>女式可爱卡通印花连帽衫运动衫拼色长袖卡哇伊少女图形审美休闲套头衫上衣 紫色 XL</t>
  </si>
  <si>
    <t>411</t>
  </si>
  <si>
    <t>61.65 MXN</t>
  </si>
  <si>
    <t>54.63</t>
  </si>
  <si>
    <t>342</t>
  </si>
  <si>
    <t>lrrb43@hotmail.com</t>
  </si>
  <si>
    <t>2023-12-04 16:11:55</t>
  </si>
  <si>
    <t>YT2333821272058094</t>
  </si>
  <si>
    <t>2022-08-17 18:08:05</t>
  </si>
  <si>
    <t>473</t>
  </si>
  <si>
    <t>Gibobby Sudaderas para mujer, Sudadera Deportiva Mujer con Cierre, Sudadera con Capucha de Manga Lar Gibobby</t>
  </si>
  <si>
    <t>346.0g/0.0m3</t>
  </si>
  <si>
    <t>536232600262</t>
  </si>
  <si>
    <t>2022-08-16 11:16:57.0</t>
  </si>
  <si>
    <t>2023-12-02 13:10:03</t>
  </si>
  <si>
    <t>2023-12-04 16:04:30</t>
  </si>
  <si>
    <t>2023-12-04 08:31:33</t>
  </si>
  <si>
    <t>2023-12-04 08:42:11</t>
  </si>
  <si>
    <t>LXJ10127hZRfWku</t>
  </si>
  <si>
    <t>2023-12-04 08:31:27</t>
  </si>
  <si>
    <t>797664956</t>
  </si>
  <si>
    <t>P117299840</t>
  </si>
  <si>
    <t>SFW221203012PKXL</t>
  </si>
  <si>
    <t>女士韩版长袖口袋连帽卫衣 粉色 XL</t>
  </si>
  <si>
    <t>44.25 MXN</t>
  </si>
  <si>
    <t>11.0</t>
  </si>
  <si>
    <t>luisa27_lt@hotmail.com</t>
  </si>
  <si>
    <t>2023-12-06 17:28:02</t>
  </si>
  <si>
    <t>LJ002643436CN</t>
  </si>
  <si>
    <t>2022-12-06 18:11:37</t>
  </si>
  <si>
    <t>Gibobby Sudadera con cierre mujer, Sudaderas con capucha y gráficos Y2K de ajuste holgado, sudaderas Gibobby</t>
  </si>
  <si>
    <t>537234700505</t>
  </si>
  <si>
    <t>2022-12-06 16:57:47.0</t>
  </si>
  <si>
    <t>2023-12-04 09:10:03</t>
  </si>
  <si>
    <t>2023-12-04 09:57:15</t>
  </si>
  <si>
    <t>LXJ10121rEI4RyD</t>
  </si>
  <si>
    <t>2023-12-04 14:01:16</t>
  </si>
  <si>
    <t>797676647</t>
  </si>
  <si>
    <t>P117304147</t>
  </si>
  <si>
    <t>CMG220806009NYM</t>
  </si>
  <si>
    <t>男士秋冬纯色连帽拉链保暖开衫针织外套 藏青 M</t>
  </si>
  <si>
    <t>725</t>
  </si>
  <si>
    <t>710</t>
  </si>
  <si>
    <t>108.75 MXN</t>
  </si>
  <si>
    <t>95.58</t>
  </si>
  <si>
    <t>736</t>
  </si>
  <si>
    <t>680</t>
  </si>
  <si>
    <t>icesarlopezq@gmail.com</t>
  </si>
  <si>
    <t>2023-12-05 00:28:25</t>
  </si>
  <si>
    <t>YT2333821272506321</t>
  </si>
  <si>
    <t>483</t>
  </si>
  <si>
    <t>Gibobby Suéter cárdigan para hombre Sudadera con Capucha, Lana Merino y acrílico con Cierre Completa Gibobby</t>
  </si>
  <si>
    <t>736.0g/0.0m3</t>
  </si>
  <si>
    <t>904235200141</t>
  </si>
  <si>
    <t>2022-08-06 18:09:55.0</t>
  </si>
  <si>
    <t>SINALOA</t>
  </si>
  <si>
    <t>2023-12-04 14:10:04</t>
  </si>
  <si>
    <t>2023-12-04 19:28:45</t>
  </si>
  <si>
    <t>2023-12-04 16:40:55</t>
  </si>
  <si>
    <t>2023-12-04 17:02:04</t>
  </si>
  <si>
    <t>LXJ1030jYgPgxNP</t>
  </si>
  <si>
    <t>2023-12-06 11:07:58</t>
  </si>
  <si>
    <t>Women Nightgowns &amp; Sleepshirts 女士睡裙</t>
  </si>
  <si>
    <t>797780529</t>
  </si>
  <si>
    <t>P117331800</t>
  </si>
  <si>
    <t>TXS230323010BK</t>
  </si>
  <si>
    <t>女士感丝袜连体镂空吊带激情露乳紧身连体睡衣 黑色</t>
  </si>
  <si>
    <t>170</t>
  </si>
  <si>
    <t>155</t>
  </si>
  <si>
    <t>25.5 MXN</t>
  </si>
  <si>
    <t>5.23</t>
  </si>
  <si>
    <t>21.44</t>
  </si>
  <si>
    <t>60</t>
  </si>
  <si>
    <t>MTK_TXS [谭向善]</t>
  </si>
  <si>
    <t>rpaez4512@gmail.com</t>
  </si>
  <si>
    <t>2023-12-06 16:31:34</t>
  </si>
  <si>
    <t>liuziwei [刘紫伟]</t>
  </si>
  <si>
    <t>LJ002694999CN</t>
  </si>
  <si>
    <t>2023-03-27 17:54:17</t>
  </si>
  <si>
    <t>253</t>
  </si>
  <si>
    <t>0.5</t>
  </si>
  <si>
    <t>Gibobby Lencería sexy para mujer Body de malla Sexy para mujer, lencería de rejilla, monos de manga Gibobby</t>
  </si>
  <si>
    <t>64.0g/0.0m3</t>
  </si>
  <si>
    <t>540232501811</t>
  </si>
  <si>
    <t>2023-03-27 16:44:59.0</t>
  </si>
  <si>
    <t>2023-12-06 12:10:03</t>
  </si>
  <si>
    <t>2023-12-06 16:11:54</t>
  </si>
  <si>
    <t>2023-12-06 13:42:34</t>
  </si>
  <si>
    <t>2023-12-06 14:02:03</t>
  </si>
  <si>
    <t>LXJ1129aaGZcHKHS</t>
  </si>
  <si>
    <t>2023-12-06 11:22:31</t>
  </si>
  <si>
    <t>797780530</t>
  </si>
  <si>
    <t>P117332056</t>
  </si>
  <si>
    <t>CMG211023252GNL</t>
  </si>
  <si>
    <t>1416-7516男士秋冬休闲大码拉链口袋棉服外套上衣 绿色 L</t>
  </si>
  <si>
    <t>36.0</t>
  </si>
  <si>
    <t>51.02</t>
  </si>
  <si>
    <t>carloserwin03@gmail.com</t>
  </si>
  <si>
    <t>2023-12-11 10:35:43</t>
  </si>
  <si>
    <t>AD_LQY [林秋月]</t>
  </si>
  <si>
    <t>LJ002694968CN</t>
  </si>
  <si>
    <t>2021-10-25 18:14:49</t>
  </si>
  <si>
    <t>776</t>
  </si>
  <si>
    <t>Gibobby Chamarra acolchada ligera para hombre Chamarra de bolsillo con cremallera de talla grande pa Gibobby</t>
  </si>
  <si>
    <t>540232600364</t>
  </si>
  <si>
    <t>2021-10-23 14:02:20.0</t>
  </si>
  <si>
    <t>CHIAPAS</t>
  </si>
  <si>
    <t>2023-12-11 10:25:22</t>
  </si>
  <si>
    <t>2023-12-10 16:58:00</t>
  </si>
  <si>
    <t>LXJ1103avx39uIDM</t>
  </si>
  <si>
    <t>2023-12-06 13:25:24</t>
  </si>
  <si>
    <t>797783595</t>
  </si>
  <si>
    <t>P117333623</t>
  </si>
  <si>
    <t>CJN211012321BGS</t>
  </si>
  <si>
    <t>欧美风秋冬马甲棉袄撞色立领拉链个性女外套 米色 S</t>
  </si>
  <si>
    <t>467</t>
  </si>
  <si>
    <t>72.3 MXN</t>
  </si>
  <si>
    <t>53.9</t>
  </si>
  <si>
    <t>314</t>
  </si>
  <si>
    <t>danielascencio2924@gmail.com</t>
  </si>
  <si>
    <t>2023-12-06 20:01:32</t>
  </si>
  <si>
    <t>AD_LZC [李忠诚]</t>
  </si>
  <si>
    <t>YT2334021272290657</t>
  </si>
  <si>
    <t>2021-10-13 18:23:28</t>
  </si>
  <si>
    <t>784</t>
  </si>
  <si>
    <t>Gibobby Chaleco dama, Chaleco Capitonado de Mujer con Bolsas Laterales y Cierres, Moderno y Juvenil. Gibobby</t>
  </si>
  <si>
    <t>314.0g/0.0m3</t>
  </si>
  <si>
    <t>540232702373</t>
  </si>
  <si>
    <t>2021-10-12 11:41:19.0</t>
  </si>
  <si>
    <t>2023-12-06 14:10:04</t>
  </si>
  <si>
    <t>2023-12-06 17:23:33</t>
  </si>
  <si>
    <t>2023-12-06 14:28:55</t>
  </si>
  <si>
    <t>2023-12-06 14:42:05</t>
  </si>
  <si>
    <t>LXJ1010juIPPDFJ</t>
  </si>
  <si>
    <t>2023-12-08 07:51:03</t>
  </si>
  <si>
    <t>Women's Leather &amp; Faux Leather Jackets &amp; Coats 女士皮夹克</t>
  </si>
  <si>
    <t>797866817</t>
  </si>
  <si>
    <t>P117357697</t>
  </si>
  <si>
    <t>FJY230928003BKXL</t>
  </si>
  <si>
    <t>女式大码毛绒外套冬季长袖拉链连帽衫大衣纯色保暖抓绒夹克外套 黑色 XL</t>
  </si>
  <si>
    <t>616</t>
  </si>
  <si>
    <t>601</t>
  </si>
  <si>
    <t>92.4 MXN</t>
  </si>
  <si>
    <t>62.92</t>
  </si>
  <si>
    <t>552</t>
  </si>
  <si>
    <t>MKT_FJY [冯加怡]</t>
  </si>
  <si>
    <t>iselaharrell@gmail.com</t>
  </si>
  <si>
    <t>2023-12-10 21:28:36</t>
  </si>
  <si>
    <t>LJ002728065CN</t>
  </si>
  <si>
    <t>2023-10-13 18:29:38</t>
  </si>
  <si>
    <t>58</t>
  </si>
  <si>
    <t>Gibobby Chamarra ligera mujer larga, Chamarra con capucha, talla grande(Negro,XG) Gibobby</t>
  </si>
  <si>
    <t>552.0g/0.0m3</t>
  </si>
  <si>
    <t>541234600798</t>
  </si>
  <si>
    <t>2023-10-06 09:33:42.0</t>
  </si>
  <si>
    <t>7</t>
  </si>
  <si>
    <t>2023-12-08 08:10:04</t>
  </si>
  <si>
    <t>2023-12-10 19:56:50</t>
  </si>
  <si>
    <t>2023-12-08 08:39:29</t>
  </si>
  <si>
    <t>2023-12-10 18:03:42</t>
  </si>
  <si>
    <t>LXJ1018QFKHQ2gq</t>
  </si>
  <si>
    <t>2023-12-08 08:02:00</t>
  </si>
  <si>
    <t>Women's Casual Dress 女士休闲裙1</t>
  </si>
  <si>
    <t>797866818</t>
  </si>
  <si>
    <t>P117357917</t>
  </si>
  <si>
    <t>MAC81231212BKM</t>
  </si>
  <si>
    <t>B18070 女士系带露背性感包臀吊带裙 黑色</t>
  </si>
  <si>
    <t>309</t>
  </si>
  <si>
    <t>48.6 MXN</t>
  </si>
  <si>
    <t>23.01</t>
  </si>
  <si>
    <t>23.006</t>
  </si>
  <si>
    <t>29.07</t>
  </si>
  <si>
    <t>&lt;[黄丽桦(12-14)：无法回货]&gt;</t>
  </si>
  <si>
    <t>82</t>
  </si>
  <si>
    <t>72.67</t>
  </si>
  <si>
    <t>rjeniffer163@gmail.com</t>
  </si>
  <si>
    <t>2023-12-15 13:36:37</t>
  </si>
  <si>
    <t>AD_HLQ [何柳清]</t>
  </si>
  <si>
    <t>YT2334221272063446</t>
  </si>
  <si>
    <t>2018-12-31 19:22:55</t>
  </si>
  <si>
    <t>1809</t>
  </si>
  <si>
    <t>Gibobby Vestidos cortos de mujer Sexy Womens Fashion One Shouder Bind Hollow Manga larga Bodycon Sli Gibobby</t>
  </si>
  <si>
    <t>82.0g/0.0m3</t>
  </si>
  <si>
    <t>907237002028</t>
  </si>
  <si>
    <t>2018-12-31 09:59:07.0</t>
  </si>
  <si>
    <t>2023-12-15 13:21:49</t>
  </si>
  <si>
    <t>2023-12-15 09:22:03</t>
  </si>
  <si>
    <t>LXJ1202aJSWPYBM7</t>
  </si>
  <si>
    <t>2023-12-08 09:39:34</t>
  </si>
  <si>
    <t>Women's Casual Jackets 女士休闲夹克1</t>
  </si>
  <si>
    <t>797870908</t>
  </si>
  <si>
    <t>P117359558</t>
  </si>
  <si>
    <t>SFW220928007BKL</t>
  </si>
  <si>
    <t>22-波浪#女士常规款连帽长袖拉链口袋加厚外套夹克棉服 黑色 L</t>
  </si>
  <si>
    <t>1108</t>
  </si>
  <si>
    <t>1093</t>
  </si>
  <si>
    <t>166.2 MXN</t>
  </si>
  <si>
    <t>95.0</t>
  </si>
  <si>
    <t>144.42</t>
  </si>
  <si>
    <t>1160</t>
  </si>
  <si>
    <t>995</t>
  </si>
  <si>
    <t>jcmg_20@hotmail.com</t>
  </si>
  <si>
    <t>2023-12-11 09:32:25</t>
  </si>
  <si>
    <t>YT2334221272141155</t>
  </si>
  <si>
    <t>2022-09-30 18:14:30</t>
  </si>
  <si>
    <t>436</t>
  </si>
  <si>
    <t>Gibobby Chamarra larga mujer invierno, Chaquetas de plumón para mujer, chamarra larga para mujer, Ab Gibobby</t>
  </si>
  <si>
    <t>1160.0g/0.0m3</t>
  </si>
  <si>
    <t>908234800580</t>
  </si>
  <si>
    <t>2022-09-30 15:51:28.0</t>
  </si>
  <si>
    <t>2023-12-08 10:10:04</t>
  </si>
  <si>
    <t>2023-12-11 08:59:19</t>
  </si>
  <si>
    <t>2023-12-08 10:16:44</t>
  </si>
  <si>
    <t>2023-12-11 07:37:58</t>
  </si>
  <si>
    <t>LXJ1018njBCSD6a</t>
  </si>
  <si>
    <t>2023-12-11 08:41:21</t>
  </si>
  <si>
    <t>Thermal Underwear Bottoms 保暖裤/秋裤</t>
  </si>
  <si>
    <t>798005289</t>
  </si>
  <si>
    <t>P117403803</t>
  </si>
  <si>
    <t>WCH221107002DYXL</t>
  </si>
  <si>
    <t>羊羔绒打底裤女2022新款秋冬加绒加厚外穿高腰小脚裤保暖打底棉裤 深灰色 XL</t>
  </si>
  <si>
    <t>537.96</t>
  </si>
  <si>
    <t>222.96</t>
  </si>
  <si>
    <t>40.35 MXN</t>
  </si>
  <si>
    <t>31.911492537313435</t>
  </si>
  <si>
    <t>574</t>
  </si>
  <si>
    <t>802251</t>
  </si>
  <si>
    <t>MKT_WCH [吴春辉]</t>
  </si>
  <si>
    <t>lorenamazop1@gmail.com</t>
  </si>
  <si>
    <t>2023-12-13 16:56:14</t>
  </si>
  <si>
    <t>LJ002781361CN</t>
  </si>
  <si>
    <t>2022-11-14 18:25:08</t>
  </si>
  <si>
    <t>393</t>
  </si>
  <si>
    <t>Gibobby Leggins Termicos Mujer de cintura alta para mujer, ropa exterior gruesa, para otoño e invierno, pantalones de algodón con parte inferior cálida (Gris, XL)</t>
  </si>
  <si>
    <t>574.0g/0.0m3</t>
  </si>
  <si>
    <t>910237102232</t>
  </si>
  <si>
    <t>2022-11-14 15:09:05.0</t>
  </si>
  <si>
    <t>2023-12-11 09:10:04</t>
  </si>
  <si>
    <t>2023-12-13 09:30:59</t>
  </si>
  <si>
    <t>2023-12-11 09:16:54</t>
  </si>
  <si>
    <t>2023-12-12 23:10:07</t>
  </si>
  <si>
    <t>DWX10257rohtrEI</t>
  </si>
  <si>
    <t>SFW221029014CXL</t>
  </si>
  <si>
    <t>女士加厚绒漆皮打底裤 黑色 XL</t>
  </si>
  <si>
    <t>22.9</t>
  </si>
  <si>
    <t>32.87850746268657</t>
  </si>
  <si>
    <t>272</t>
  </si>
  <si>
    <t>linkairong [林垲榕]</t>
  </si>
  <si>
    <t>2022-10-31 18:44:08</t>
  </si>
  <si>
    <t>Gibobby Leggings afelpados para mujer Leggings de sintética para mujer Pantalones elásticos de sintética de talle y pantalones cálidos(C,XG)</t>
  </si>
  <si>
    <t>2022-10-31 11:22:53.0</t>
  </si>
  <si>
    <t>LXJ1116aFmqTxAQd</t>
  </si>
  <si>
    <t>2023-12-11 13:48:40</t>
  </si>
  <si>
    <t>Women's Pullover Sweater 套头毛衣2</t>
  </si>
  <si>
    <t>798015131</t>
  </si>
  <si>
    <t>P117409058</t>
  </si>
  <si>
    <t>PHF230926007NYS</t>
  </si>
  <si>
    <t>圣诞毛衣加厚插肩袖麋鹿圣诞树金线套头衫 藏青 S</t>
  </si>
  <si>
    <t>682</t>
  </si>
  <si>
    <t>667</t>
  </si>
  <si>
    <t>102.3 MXN</t>
  </si>
  <si>
    <t>50.0</t>
  </si>
  <si>
    <t>70.74</t>
  </si>
  <si>
    <t>&lt;[李莹(12-11)：12-17发]&gt;</t>
  </si>
  <si>
    <t>644</t>
  </si>
  <si>
    <t>574.2</t>
  </si>
  <si>
    <t>MKT_PHF [彭华芳]</t>
  </si>
  <si>
    <t>odilanone@yahoo.com</t>
  </si>
  <si>
    <t>2023-12-15 23:14:15</t>
  </si>
  <si>
    <t>LJ002791942CN</t>
  </si>
  <si>
    <t>2023-10-05 18:22:50</t>
  </si>
  <si>
    <t>71</t>
  </si>
  <si>
    <t>MKT_HCJ [何成杰]</t>
  </si>
  <si>
    <t>Gibobby Suéter navideño Suéter navideño Manga raglán engrosada Árbol de Navidad de dorado(Marina,CH) Gibobby</t>
  </si>
  <si>
    <t>644.0g/0.0m3</t>
  </si>
  <si>
    <t>545232802210</t>
  </si>
  <si>
    <t>2023-10-05 16:25:29.0</t>
  </si>
  <si>
    <t>2023-12-11 14:10:04</t>
  </si>
  <si>
    <t>2023-12-15 19:03:22</t>
  </si>
  <si>
    <t>2023-12-11 14:16:41</t>
  </si>
  <si>
    <t>2023-12-15 17:03:42</t>
  </si>
  <si>
    <t>LXJ1103biptEHQo7</t>
  </si>
  <si>
    <t>2023-12-12 03:57:21</t>
  </si>
  <si>
    <t>798046282</t>
  </si>
  <si>
    <t>P117416969</t>
  </si>
  <si>
    <t>FJY230727012BKM</t>
  </si>
  <si>
    <t>女士宽松卡通圆领套头圣诞节毛衣冬季女式针织衫 黑色 M</t>
  </si>
  <si>
    <t>605</t>
  </si>
  <si>
    <t>590</t>
  </si>
  <si>
    <t>90.75 MXN</t>
  </si>
  <si>
    <t>48.0</t>
  </si>
  <si>
    <t>70.38</t>
  </si>
  <si>
    <t>&lt;[柳春艳(12-15)：17回1]&gt;</t>
  </si>
  <si>
    <t>468</t>
  </si>
  <si>
    <t>432</t>
  </si>
  <si>
    <t>adrianalopezdouriet611@gmail.com</t>
  </si>
  <si>
    <t>2023-12-16 10:57:38</t>
  </si>
  <si>
    <t>YT2334621272051270</t>
  </si>
  <si>
    <t>2023-08-01 18:18:22</t>
  </si>
  <si>
    <t>136</t>
  </si>
  <si>
    <t>Gibobby Suéter Navidad mujer de cuello redondo de animados sueltos para mujer, suéter de Navidad, su Gibobby</t>
  </si>
  <si>
    <t>468.0g/0.0m3</t>
  </si>
  <si>
    <t>545234102077</t>
  </si>
  <si>
    <t>2023-07-31 16:03:06.0</t>
  </si>
  <si>
    <t>2023-12-12 06:10:03</t>
  </si>
  <si>
    <t>2023-12-16 09:00:04</t>
  </si>
  <si>
    <t>2023-12-12 08:34:46</t>
  </si>
  <si>
    <t>2023-12-16 08:05:01</t>
  </si>
  <si>
    <t>LXJ1103bg1ky7Jgq</t>
  </si>
  <si>
    <t>2023-12-13 02:13:52</t>
  </si>
  <si>
    <t>798083566</t>
  </si>
  <si>
    <t>P117431626</t>
  </si>
  <si>
    <t>GYZ230719026BKS</t>
  </si>
  <si>
    <t>女士休闲舒适纯色长袖女士西装外套 黑色 S</t>
  </si>
  <si>
    <t>349</t>
  </si>
  <si>
    <t>52.35 MXN</t>
  </si>
  <si>
    <t>21.0</t>
  </si>
  <si>
    <t>46.62</t>
  </si>
  <si>
    <t>收件人地址不能为空或者不能为全数字</t>
  </si>
  <si>
    <t>244</t>
  </si>
  <si>
    <t>MKT_GYZ [古燕珍]</t>
  </si>
  <si>
    <t>monsecmn15@gmail.com</t>
  </si>
  <si>
    <t>2023-12-13 16:23:36</t>
  </si>
  <si>
    <t>YT2334721272053730</t>
  </si>
  <si>
    <t>2023-08-01 18:18:43</t>
  </si>
  <si>
    <t>Gibobby Blazer mujer casual Chamarra Casual para Mujer Manga Larga con Frente Abierto para Trabajo O Gibobby</t>
  </si>
  <si>
    <t>246.0g/0.0m3</t>
  </si>
  <si>
    <t>888235301452</t>
  </si>
  <si>
    <t>2023-08-01 10:05:15.0</t>
  </si>
  <si>
    <t>YUCATAN</t>
  </si>
  <si>
    <t>2023-12-13 03:10:04</t>
  </si>
  <si>
    <t>2023-12-13 14:59:28</t>
  </si>
  <si>
    <t>2023-12-13 08:40:34</t>
  </si>
  <si>
    <t>2023-12-13 09:02:05</t>
  </si>
  <si>
    <t>LXJ1024ltlkgiPD</t>
  </si>
  <si>
    <t>2023-12-13 04:52:24</t>
  </si>
  <si>
    <t>798091351</t>
  </si>
  <si>
    <t>P117434860</t>
  </si>
  <si>
    <t>YLL220818008RDS</t>
  </si>
  <si>
    <t>高领圣诞主题提花情侣毛衣女款 红色 S</t>
  </si>
  <si>
    <t>1062</t>
  </si>
  <si>
    <t>79.65 MXN</t>
  </si>
  <si>
    <t>65.2739319620253</t>
  </si>
  <si>
    <t>1044</t>
  </si>
  <si>
    <t>rafi-ky@hotmail.com</t>
  </si>
  <si>
    <t>2023-12-15 11:37:31</t>
  </si>
  <si>
    <t>YT2334721272047232</t>
  </si>
  <si>
    <t>1044.0g/0.0m3</t>
  </si>
  <si>
    <t>546234302396</t>
  </si>
  <si>
    <t>2023-12-13 06:10:03</t>
  </si>
  <si>
    <t>2023-12-15 10:19:57</t>
  </si>
  <si>
    <t>2023-12-14 16:10:10</t>
  </si>
  <si>
    <t>LXJ1103bwqfZA56s</t>
  </si>
  <si>
    <t>XMX231027005WHS</t>
  </si>
  <si>
    <t>女士秋冬高领圣诞麋鹿撞色蝙蝠袖毛衣 白色 S</t>
  </si>
  <si>
    <t>46.0</t>
  </si>
  <si>
    <t>66.73606803797466</t>
  </si>
  <si>
    <t>511.2</t>
  </si>
  <si>
    <t>2023-11-09 18:31:47</t>
  </si>
  <si>
    <t>35</t>
  </si>
  <si>
    <t>Gibobby Suéter Navideño Mujer Suéter con mangas de murciélago navideño y cuello de otoño o invierno Gibobby</t>
  </si>
  <si>
    <t>2023-11-09 17:22:27.0</t>
  </si>
  <si>
    <t>DWX1111YoSnHMY0</t>
  </si>
  <si>
    <t>2023-12-13 07:12:46</t>
  </si>
  <si>
    <t>Bra &amp; Brief Sets 内衣套装</t>
  </si>
  <si>
    <t>798095514</t>
  </si>
  <si>
    <t>P117437820</t>
  </si>
  <si>
    <t>LSI220113944BKS</t>
  </si>
  <si>
    <t>276#女士性感蕾丝情趣内衣套装 黑色 S</t>
  </si>
  <si>
    <t>247</t>
  </si>
  <si>
    <t>232</t>
  </si>
  <si>
    <t>37.05 MXN</t>
  </si>
  <si>
    <t>18.0</t>
  </si>
  <si>
    <t>25.44</t>
  </si>
  <si>
    <t>48</t>
  </si>
  <si>
    <t>46</t>
  </si>
  <si>
    <t>MKT_LSI [黎思颖]</t>
  </si>
  <si>
    <t>charlyday310391@gmail.com</t>
  </si>
  <si>
    <t>2023-12-13 15:08:03</t>
  </si>
  <si>
    <t>zhongxiaoyan1 [钟小燕]</t>
  </si>
  <si>
    <t>YT2334721272047233</t>
  </si>
  <si>
    <t>2022-01-14 18:32:43</t>
  </si>
  <si>
    <t>697</t>
  </si>
  <si>
    <t>Gibobby Conjunto de lencería de encaje Nueva sexy lencería de encaje ropa interior ropa de dormir anillo de pijamas liguero(Negro, CH)</t>
  </si>
  <si>
    <t>48.0g/0.0m3</t>
  </si>
  <si>
    <t>912236901404</t>
  </si>
  <si>
    <t>2022-01-13 15:21:44.0</t>
  </si>
  <si>
    <t>2023-12-13 08:10:04</t>
  </si>
  <si>
    <t>2023-12-13 14:50:12</t>
  </si>
  <si>
    <t>2023-12-13 09:02:10</t>
  </si>
  <si>
    <t>LXJ1209b5e45BvVa</t>
  </si>
  <si>
    <t>2023-12-13 08:11:18</t>
  </si>
  <si>
    <t>798097282</t>
  </si>
  <si>
    <t>P117440029</t>
  </si>
  <si>
    <t>LXT230105001BGM</t>
  </si>
  <si>
    <t>欧美背心式健身瑜伽内衣前搭扣收副乳聚拢跑步无钢圈运动文胸 米色 M</t>
  </si>
  <si>
    <t>200</t>
  </si>
  <si>
    <t>185</t>
  </si>
  <si>
    <t>30 MXN</t>
  </si>
  <si>
    <t>15.2</t>
  </si>
  <si>
    <t>80</t>
  </si>
  <si>
    <t>rosas88sandra@gmail.com</t>
  </si>
  <si>
    <t>2023-12-13 16:19:22</t>
  </si>
  <si>
    <t>YT2334721272070124</t>
  </si>
  <si>
    <t>2023-01-28 18:01:31</t>
  </si>
  <si>
    <t>318</t>
  </si>
  <si>
    <t>Gibobby Brasieres Anchos De Espalda Comodos Sujetadores ajustables con cierre frontal para mujer Pos Gibobby</t>
  </si>
  <si>
    <t>912237100261</t>
  </si>
  <si>
    <t>2023-01-16 16:37:40.0</t>
  </si>
  <si>
    <t>2023-12-13 09:10:03</t>
  </si>
  <si>
    <t>2023-12-13 15:04:13</t>
  </si>
  <si>
    <t>2023-12-13 09:19:16</t>
  </si>
  <si>
    <t>2023-12-13 09:22:08</t>
  </si>
  <si>
    <t>LXJ1109a2VQwn5ML</t>
  </si>
  <si>
    <t>2023-12-13 14:46:09</t>
  </si>
  <si>
    <t>798105836</t>
  </si>
  <si>
    <t>P117445952</t>
  </si>
  <si>
    <t>AWY230801004RDL</t>
  </si>
  <si>
    <t>女士秋冬季休闲纯色字母印花圆领无帽卫衣 红色 L</t>
  </si>
  <si>
    <t>49.5 MXN</t>
  </si>
  <si>
    <t>47.05</t>
  </si>
  <si>
    <t>242</t>
  </si>
  <si>
    <t>MKT_AWY [王雨]</t>
  </si>
  <si>
    <t>angie_euran@yahoo.com</t>
  </si>
  <si>
    <t>2023-12-18 20:50:51</t>
  </si>
  <si>
    <t>YT2334721272265298</t>
  </si>
  <si>
    <t>2023-08-07 18:39:08</t>
  </si>
  <si>
    <t>Gibobby Sudadera mujer Sudaderas francesas para mujeres(Rojo,G) Gibobby</t>
  </si>
  <si>
    <t>913235201553</t>
  </si>
  <si>
    <t>2023-08-07 14:06:44.0</t>
  </si>
  <si>
    <t>2023-12-13 15:10:04</t>
  </si>
  <si>
    <t>2023-12-18 20:25:01</t>
  </si>
  <si>
    <t>2023-12-13 15:41:01</t>
  </si>
  <si>
    <t>2023-12-18 11:08:03</t>
  </si>
  <si>
    <t>LXJ1016xtu27owm</t>
  </si>
  <si>
    <t>2023-12-14 13:33:42</t>
  </si>
  <si>
    <t>798146886</t>
  </si>
  <si>
    <t>P117462121</t>
  </si>
  <si>
    <t>FJY230928003BKM</t>
  </si>
  <si>
    <t>女式大码毛绒外套冬季长袖拉链连帽衫大衣纯色保暖抓绒夹克外套 黑色 M</t>
  </si>
  <si>
    <t>537</t>
  </si>
  <si>
    <t>522</t>
  </si>
  <si>
    <t>80.55 MXN</t>
  </si>
  <si>
    <t>59.52</t>
  </si>
  <si>
    <t>prices.amanecer@gmail.com</t>
  </si>
  <si>
    <t>2023-12-18 21:59:55</t>
  </si>
  <si>
    <t>LJ002856042CN</t>
  </si>
  <si>
    <t>66</t>
  </si>
  <si>
    <t>Gibobby Chamarra larga para mujer, Columbia Chaqueta con capucha para mujer(Negro,M) Gibobby</t>
  </si>
  <si>
    <t>512.0g/0.0m3</t>
  </si>
  <si>
    <t>548232802025</t>
  </si>
  <si>
    <t>2023-12-14 14:10:04</t>
  </si>
  <si>
    <t>2023-12-18 20:17:11</t>
  </si>
  <si>
    <t>2023-12-14 14:20:36</t>
  </si>
  <si>
    <t>2023-12-18 16:17:12</t>
  </si>
  <si>
    <t>LXJ1018QFKHQlOm</t>
  </si>
  <si>
    <t>2023-12-14 12:41:42</t>
  </si>
  <si>
    <t>798146887</t>
  </si>
  <si>
    <t>P117461726</t>
  </si>
  <si>
    <t>SFW71016311LGM</t>
  </si>
  <si>
    <t xml:space="preserve">865# 女士连帽卫衣绒衫 浅灰色M </t>
  </si>
  <si>
    <t>327</t>
  </si>
  <si>
    <t>49.05 MXN</t>
  </si>
  <si>
    <t>48.33</t>
  </si>
  <si>
    <t>262</t>
  </si>
  <si>
    <t>230</t>
  </si>
  <si>
    <t>marce_47@hotmail.com</t>
  </si>
  <si>
    <t>2023-12-14 16:40:45</t>
  </si>
  <si>
    <t>YT2334821272216187</t>
  </si>
  <si>
    <t>2249</t>
  </si>
  <si>
    <t>Gibobby Abrigos de mujer, Chaqueta de Forro Polar para Mujer con Bloques de Color y Cremallera con C Gibobby</t>
  </si>
  <si>
    <t>262.0g/0.0m3</t>
  </si>
  <si>
    <t>548232701970</t>
  </si>
  <si>
    <t>2017-10-16 10:40:13.0</t>
  </si>
  <si>
    <t>2023-12-14 16:24:22</t>
  </si>
  <si>
    <t>2023-12-14 14:42:03</t>
  </si>
  <si>
    <t>LXJ1011Qor1Tqus</t>
  </si>
  <si>
    <t>2023-12-15 01:30:09</t>
  </si>
  <si>
    <t>798163685</t>
  </si>
  <si>
    <t>P117465109</t>
  </si>
  <si>
    <t>FBE230907001WEM</t>
  </si>
  <si>
    <t>男士卫衣休闲时尚撞色插肩袖开衫上衣 酒红色 M</t>
  </si>
  <si>
    <t>435</t>
  </si>
  <si>
    <t>65.25 MXN</t>
  </si>
  <si>
    <t>58.16</t>
  </si>
  <si>
    <t>496</t>
  </si>
  <si>
    <t>MKT_FBE [方冰儿]</t>
  </si>
  <si>
    <t>romagnoly007@gmail.com</t>
  </si>
  <si>
    <t>2023-12-18 21:59:19</t>
  </si>
  <si>
    <t>LJ002867972CN</t>
  </si>
  <si>
    <t>2023-09-08 18:35:26</t>
  </si>
  <si>
    <t>101</t>
  </si>
  <si>
    <t>Gibobby Sudaderas de hombre Sudadera con Cierre Y Capucha Manga Larga Hombre(Vino,M) Gibobby</t>
  </si>
  <si>
    <t>496.0g/0.0m3</t>
  </si>
  <si>
    <t>548232802691</t>
  </si>
  <si>
    <t>2023-09-08 15:00:58.0</t>
  </si>
  <si>
    <t>2023-12-15 02:10:04</t>
  </si>
  <si>
    <t>2023-12-18 20:17:00</t>
  </si>
  <si>
    <t>2023-12-15 08:42:34</t>
  </si>
  <si>
    <t>2023-12-18 18:09:32</t>
  </si>
  <si>
    <t>LXJ1025rvfHpi9W</t>
  </si>
  <si>
    <t>2023-12-15 04:47:38</t>
  </si>
  <si>
    <t>798169631</t>
  </si>
  <si>
    <t>P117468773</t>
  </si>
  <si>
    <t>INL221101006BGL</t>
  </si>
  <si>
    <t>女士连帽羽绒马甲秋冬休闲马夹背心外套 米色 L</t>
  </si>
  <si>
    <t>546</t>
  </si>
  <si>
    <t>531</t>
  </si>
  <si>
    <t>81.9 MXN</t>
  </si>
  <si>
    <t>59.18</t>
  </si>
  <si>
    <t>letyto182@hotmail.com</t>
  </si>
  <si>
    <t>LJ002868791CN</t>
  </si>
  <si>
    <t>2022-11-04 18:25:33</t>
  </si>
  <si>
    <t>作废订单</t>
  </si>
  <si>
    <t>Gibobby Chaleco mujer casual, Chaleco acolchado con cierre para mujer, cuello alto, sin mangas, acol Gibobby</t>
  </si>
  <si>
    <t>534234600489</t>
  </si>
  <si>
    <t>2022-11-04 15:58:02.0</t>
  </si>
  <si>
    <t>2023-12-15 05:10:03</t>
  </si>
  <si>
    <t>2023-12-15 09:03:31</t>
  </si>
  <si>
    <t>LXJ1010L4YdW9VK</t>
  </si>
  <si>
    <t>2023-12-15 08:23:38</t>
  </si>
  <si>
    <t>儿童产品</t>
  </si>
  <si>
    <t>Girls Outfits&amp;Set 女童套装</t>
  </si>
  <si>
    <t>798176388</t>
  </si>
  <si>
    <t>P117473380</t>
  </si>
  <si>
    <t>OWY231107005PK90</t>
  </si>
  <si>
    <t>亲子睡衣儿童加厚舒棉绒家居服保暖可爱女童套装秋冬加绒宝宝冬季 粉色 90</t>
  </si>
  <si>
    <t>325</t>
  </si>
  <si>
    <t>51 MXN</t>
  </si>
  <si>
    <t>17.8</t>
  </si>
  <si>
    <t>50.26</t>
  </si>
  <si>
    <t>MKT_OWY [欧阳婉莹]</t>
  </si>
  <si>
    <t>chivas_cesguad@hotmail.com</t>
  </si>
  <si>
    <t>2023-12-18 21:24:05</t>
  </si>
  <si>
    <t>YT2334921272057890</t>
  </si>
  <si>
    <t>2023-11-13 12:43:36</t>
  </si>
  <si>
    <t>Gibobby Conjunto para bebé Niñas Pijamas de pana gruesa para niños, ropa de casa, conjunto cálido y para Niñass, otoño e invierno, además de pana para bebé, inv(Rosa, 0-3 Años )</t>
  </si>
  <si>
    <t>普通产品 -&gt; Kids and Mother -&gt; 儿童产品</t>
  </si>
  <si>
    <t>914237000939</t>
  </si>
  <si>
    <t>2023-11-13 09:25:27.0</t>
  </si>
  <si>
    <t>2023-12-15 09:10:08</t>
  </si>
  <si>
    <t>2023-12-18 20:41:50</t>
  </si>
  <si>
    <t>2023-12-15 09:18:42</t>
  </si>
  <si>
    <t>2023-12-18 18:09:33</t>
  </si>
  <si>
    <t>LXJ1212aZh56OtaB</t>
  </si>
  <si>
    <t>2023-12-15 11:46:56</t>
  </si>
  <si>
    <t>798180731</t>
  </si>
  <si>
    <t>P117477872</t>
  </si>
  <si>
    <t>ZTY230908003BKM</t>
  </si>
  <si>
    <t>男士长袖薄绒毛衣针织上衣 黑色 M</t>
  </si>
  <si>
    <t>azaelmartinez99@gmail.com</t>
  </si>
  <si>
    <t>2023-12-20 15:30:11</t>
  </si>
  <si>
    <t>YT2334921272182810</t>
  </si>
  <si>
    <t>Gibobby Suéter para hombre Suéter de manga larga para hombre con cuello alto para hombre, ajuste aju Gibobby</t>
  </si>
  <si>
    <t>544232900515</t>
  </si>
  <si>
    <t>2023-12-15 12:10:04</t>
  </si>
  <si>
    <t>2023-12-20 15:16:17</t>
  </si>
  <si>
    <t>2023-12-15 13:56:38</t>
  </si>
  <si>
    <t>2023-12-20 15:00:49</t>
  </si>
  <si>
    <t>LXJ1025lN2juNDN</t>
  </si>
  <si>
    <t>2023-12-16 04:07:02</t>
  </si>
  <si>
    <t>798204003</t>
  </si>
  <si>
    <t>P117486258</t>
  </si>
  <si>
    <t>392</t>
  </si>
  <si>
    <t>58.8 MXN</t>
  </si>
  <si>
    <t>44.22</t>
  </si>
  <si>
    <t>利润过低,无法出库 占库存</t>
  </si>
  <si>
    <t>332</t>
  </si>
  <si>
    <t>checoosas@gmail.com</t>
  </si>
  <si>
    <t>2023-12-19 21:57:12</t>
  </si>
  <si>
    <t>LJ002948282CN</t>
  </si>
  <si>
    <t>1176</t>
  </si>
  <si>
    <t>Gibobby Sudadera mujer, Sudadera con Capucha de Forro Polar, Sudadera con Capucha para Mujer(Negro,G)</t>
  </si>
  <si>
    <t>332.0g/0.0m3</t>
  </si>
  <si>
    <t>829236902103</t>
  </si>
  <si>
    <t>2023-12-16 05:10:06</t>
  </si>
  <si>
    <t>2023-12-19 17:58:12</t>
  </si>
  <si>
    <t>2023-12-16 08:35:11</t>
  </si>
  <si>
    <t>2023-12-19 13:47:45</t>
  </si>
  <si>
    <t>2023-12-16 06:37:23</t>
  </si>
  <si>
    <t>Plus Size Coat 大码外套1</t>
  </si>
  <si>
    <t>798207548</t>
  </si>
  <si>
    <t>P117488579</t>
  </si>
  <si>
    <t>FZW220926004WHL</t>
  </si>
  <si>
    <t>轻薄女士棉马甲背心坎肩纯色立领拉链修身短款 白色 L</t>
  </si>
  <si>
    <t>441</t>
  </si>
  <si>
    <t>426</t>
  </si>
  <si>
    <t>66.15 MXN</t>
  </si>
  <si>
    <t>38.49</t>
  </si>
  <si>
    <t>156</t>
  </si>
  <si>
    <t>MKT_FZW [冯志伟]</t>
  </si>
  <si>
    <t>kocamsua@yahoo.com.mx</t>
  </si>
  <si>
    <t>2023-12-18 20:25:34</t>
  </si>
  <si>
    <t>YT2335021272029566</t>
  </si>
  <si>
    <t>2022-10-10 12:04:48</t>
  </si>
  <si>
    <t>Gibobby Chalecos de invierno para mujer, Chaleco acolchado para mujer, con cierre, ligero, sin manga Gibobby</t>
  </si>
  <si>
    <t>170.0g/0.0m3</t>
  </si>
  <si>
    <t>915236901254</t>
  </si>
  <si>
    <t>2022-10-08 17:41:46.0</t>
  </si>
  <si>
    <t>2023-12-16 07:10:04</t>
  </si>
  <si>
    <t>2023-12-18 19:46:50</t>
  </si>
  <si>
    <t>2023-12-18 16:17:22</t>
  </si>
  <si>
    <t>LXJ1010yWTqut5Y</t>
  </si>
  <si>
    <t>2023-12-16 07:24:33</t>
  </si>
  <si>
    <t>Intimates 情趣内衣</t>
  </si>
  <si>
    <t>798208888</t>
  </si>
  <si>
    <t>P117489513</t>
  </si>
  <si>
    <t>XXY221207006BKS</t>
  </si>
  <si>
    <t>护士角色扮演服装内衣装夜总会连体衣 黑色 S</t>
  </si>
  <si>
    <t>168</t>
  </si>
  <si>
    <t>27.75 MXN</t>
  </si>
  <si>
    <t>10.72</t>
  </si>
  <si>
    <t>10.725</t>
  </si>
  <si>
    <t>15.840909090909092</t>
  </si>
  <si>
    <t>MKT_XXY [肖瑶]</t>
  </si>
  <si>
    <t>tito_nk@hotmail.com</t>
  </si>
  <si>
    <t>2023-12-16 16:41:41</t>
  </si>
  <si>
    <t>YT2335021272029564</t>
  </si>
  <si>
    <t>2022-12-10 12:13:56</t>
  </si>
  <si>
    <t>371</t>
  </si>
  <si>
    <t>Li_haipeng [黎海鹏]</t>
  </si>
  <si>
    <t>Gibobby Lencería sexy Lencería sexy para mujer Ropa de cosplay Mono sexy de ropa interior hueca(Negr Gibobby</t>
  </si>
  <si>
    <t>136.0g/0.0m3</t>
  </si>
  <si>
    <t>915237000815</t>
  </si>
  <si>
    <t>2022-12-09 15:48:22.0</t>
  </si>
  <si>
    <t>2023-12-16 08:10:03</t>
  </si>
  <si>
    <t>2023-12-16 14:40:44</t>
  </si>
  <si>
    <t>2023-12-16 08:42:09</t>
  </si>
  <si>
    <t>LXJ1127aFhNBQbk9</t>
  </si>
  <si>
    <t>XXY221207006WHS</t>
  </si>
  <si>
    <t>护士角色扮演服装内衣装夜总会连体衣 白色 S</t>
  </si>
  <si>
    <t>172</t>
  </si>
  <si>
    <t>10.07</t>
  </si>
  <si>
    <t>10.071</t>
  </si>
  <si>
    <t>19.009090909090908</t>
  </si>
  <si>
    <t>Gibobby Lencería sexy Lencería sexy para mujer Ropa de cosplay Mono sexy de ropa interior hueca(Blan Gibobby</t>
  </si>
  <si>
    <t>LXJ1127aFhNBQCd3</t>
  </si>
  <si>
    <t>2023-12-17 16:19:20</t>
  </si>
  <si>
    <t>798264890</t>
  </si>
  <si>
    <t>P117513091</t>
  </si>
  <si>
    <t>ZYT200928494GYM</t>
  </si>
  <si>
    <t>女士休闲堆堆领印花连帽卫衣长袖上衣  灰色 M</t>
  </si>
  <si>
    <t>378</t>
  </si>
  <si>
    <t>56.7 MXN</t>
  </si>
  <si>
    <t>49.49</t>
  </si>
  <si>
    <t>394</t>
  </si>
  <si>
    <t>gabb_ad@hotmail.com</t>
  </si>
  <si>
    <t>2023-12-18 15:42:41</t>
  </si>
  <si>
    <t>LJ002915179CN</t>
  </si>
  <si>
    <t>1174</t>
  </si>
  <si>
    <t>Gibobby Sudaderas para mujer, Sudadera de forro polar con capucha para mujer, de gran tamaño, de man Gibobby</t>
  </si>
  <si>
    <t>394.0g/0.0m3</t>
  </si>
  <si>
    <t>917235301126</t>
  </si>
  <si>
    <t>2020-09-28 13:55:22.0</t>
  </si>
  <si>
    <t>2023-12-18 08:45:44</t>
  </si>
  <si>
    <t>2023-12-18 13:29:34</t>
  </si>
  <si>
    <t>2023-12-18 08:56:50</t>
  </si>
  <si>
    <t>2023-12-18 09:02:29</t>
  </si>
  <si>
    <t>LXJ1012hSsN9fe7</t>
  </si>
  <si>
    <t>2023-12-17 11:50:27</t>
  </si>
  <si>
    <t>798264891</t>
  </si>
  <si>
    <t>P117511301</t>
  </si>
  <si>
    <t>ZYT201130482BKM</t>
  </si>
  <si>
    <t>女士大码棉衣中长款修身时长袖棉服 黑色 M</t>
  </si>
  <si>
    <t>841</t>
  </si>
  <si>
    <t>126.15 MXN</t>
  </si>
  <si>
    <t>95.41</t>
  </si>
  <si>
    <t>702</t>
  </si>
  <si>
    <t>788</t>
  </si>
  <si>
    <t>eduvsarenas.19@gmail.com</t>
  </si>
  <si>
    <t>2023-12-18 21:07:09</t>
  </si>
  <si>
    <t>YT2335221272046499</t>
  </si>
  <si>
    <t>1112</t>
  </si>
  <si>
    <t>Gibobby Chamarra ligera mujer larga, chamarra de invierno para mujer, de longitud larga, acolchada, Gibobby</t>
  </si>
  <si>
    <t>702.0g/0.0m3</t>
  </si>
  <si>
    <t>550234700371</t>
  </si>
  <si>
    <t>2023-12-18 10:28:10</t>
  </si>
  <si>
    <t>2023-12-18 09:02:40</t>
  </si>
  <si>
    <t>LXJ1018lcP77F17</t>
  </si>
  <si>
    <t>2023-12-17 06:07:02</t>
  </si>
  <si>
    <t>Women's Formal Dress 女士礼服裙1</t>
  </si>
  <si>
    <t>798264892</t>
  </si>
  <si>
    <t>P117504382</t>
  </si>
  <si>
    <t>JUA230605005GNS</t>
  </si>
  <si>
    <t>欧美跨境外贸女装 亚马逊性感深V开叉长裙婚纱礼服 绿色 S</t>
  </si>
  <si>
    <t>868</t>
  </si>
  <si>
    <t>853</t>
  </si>
  <si>
    <t>130.2 MXN</t>
  </si>
  <si>
    <t>53.13</t>
  </si>
  <si>
    <t>55.61</t>
  </si>
  <si>
    <t>MKT_JUA [王莉娟]</t>
  </si>
  <si>
    <t>anddelquintero20@gmail.com</t>
  </si>
  <si>
    <t>2023-12-20 14:22:52</t>
  </si>
  <si>
    <t>xuxiangyi [徐湘艺]</t>
  </si>
  <si>
    <t>YT2335221272046500</t>
  </si>
  <si>
    <t>2023-06-07 18:01:32</t>
  </si>
  <si>
    <t>195</t>
  </si>
  <si>
    <t>Gibobby Vestido de noche mujer Vestido de noche largo con lentejuelas de un hombro para mujer(Verde, Gibobby</t>
  </si>
  <si>
    <t>916236900259</t>
  </si>
  <si>
    <t>2023-06-07 16:01:26.0</t>
  </si>
  <si>
    <t>2023-12-20 08:51:23</t>
  </si>
  <si>
    <t>2023-12-20 07:35:27</t>
  </si>
  <si>
    <t>LXJ1202b8SxkLyr7</t>
  </si>
  <si>
    <t>2023-12-18 00:31:32</t>
  </si>
  <si>
    <t>798264893</t>
  </si>
  <si>
    <t>P117514332</t>
  </si>
  <si>
    <t>GYZ230814011GNM</t>
  </si>
  <si>
    <t>女士秋季纯色简约长袖西装领外套女装 绿色 M</t>
  </si>
  <si>
    <t>489</t>
  </si>
  <si>
    <t>474</t>
  </si>
  <si>
    <t>73.35 MXN</t>
  </si>
  <si>
    <t>51.54</t>
  </si>
  <si>
    <t>292</t>
  </si>
  <si>
    <t>casillas_barba@hotmail.com</t>
  </si>
  <si>
    <t>2023-12-18 20:48:22</t>
  </si>
  <si>
    <t>YT2335221272046504</t>
  </si>
  <si>
    <t>2023-08-25 15:16:25</t>
  </si>
  <si>
    <t>115</t>
  </si>
  <si>
    <t>Gibobby Blazer de mujer casual chamarra casual para mujer de manga larga con solapa y botones delanteros abiertos para trabajo negocios con bolsillos(Verde,M)</t>
  </si>
  <si>
    <t>292.0g/0.0m3</t>
  </si>
  <si>
    <t>914236700427</t>
  </si>
  <si>
    <t>2023-08-24 15:41:36.0</t>
  </si>
  <si>
    <t>2023-12-18 10:16:37</t>
  </si>
  <si>
    <t>2023-12-18 09:02:23</t>
  </si>
  <si>
    <t>LXJ1209abiM6yLUL</t>
  </si>
  <si>
    <t>2023-12-18 02:18:59</t>
  </si>
  <si>
    <t>798264894</t>
  </si>
  <si>
    <t>P117515864</t>
  </si>
  <si>
    <t>LPE220804006A</t>
  </si>
  <si>
    <t>圣诞树五角星羽毛挂件圣诞节羽毛装饰家居用品圣诞树挂件 A</t>
  </si>
  <si>
    <t>100</t>
  </si>
  <si>
    <t>17.25 MXN</t>
  </si>
  <si>
    <t>3.0</t>
  </si>
  <si>
    <t>22.44</t>
  </si>
  <si>
    <t>MKT_LPE [刘佩]</t>
  </si>
  <si>
    <t>susale2@yahoo.com.mx</t>
  </si>
  <si>
    <t>2023-12-18 10:19:45</t>
  </si>
  <si>
    <t>YT2335221272046507</t>
  </si>
  <si>
    <t>2022-08-05 18:07:56</t>
  </si>
  <si>
    <t>499</t>
  </si>
  <si>
    <t>Gibobby Colgante de pluma de estrella de puntas para árbol de Navidad, decoración de plumas de Navidad, productos para el, colgante de árbol de Navidad(A)</t>
  </si>
  <si>
    <t>8.0g/0.0m3</t>
  </si>
  <si>
    <t>889236901811</t>
  </si>
  <si>
    <t>2022-08-05 14:52:37.0</t>
  </si>
  <si>
    <t>2023-12-18 10:06:01</t>
  </si>
  <si>
    <t>2023-12-18 09:02:10</t>
  </si>
  <si>
    <t>LXJ1114a9CIN1wdV</t>
  </si>
  <si>
    <t>2023-12-17 00:06:25</t>
  </si>
  <si>
    <t>798264895</t>
  </si>
  <si>
    <t>P117497850</t>
  </si>
  <si>
    <t>WJX230905001NYM</t>
  </si>
  <si>
    <t>女士纯色羽绒服中长款连帽抽绳便携修身外套 藏青 M</t>
  </si>
  <si>
    <t>668</t>
  </si>
  <si>
    <t>102.45 MXN</t>
  </si>
  <si>
    <t>83.0</t>
  </si>
  <si>
    <t>51.92</t>
  </si>
  <si>
    <t>MKT_WJX [王嘉欣]</t>
  </si>
  <si>
    <t>talejandragro@hotmail.com</t>
  </si>
  <si>
    <t>2023-12-22 15:56:27</t>
  </si>
  <si>
    <t>YT2335221272348613</t>
  </si>
  <si>
    <t>2023-09-06 18:36:54</t>
  </si>
  <si>
    <t>106</t>
  </si>
  <si>
    <t>Gibobby Chamarra larga para mujer, Chamarra de invierno ligero con capucha para mujer(Marina,M) Gibobby</t>
  </si>
  <si>
    <t>550233100433</t>
  </si>
  <si>
    <t>2023-09-06 14:01:19.0</t>
  </si>
  <si>
    <t>2023-12-22 15:34:23</t>
  </si>
  <si>
    <t>2023-12-18 17:13:01</t>
  </si>
  <si>
    <t>2023-12-22 15:02:57</t>
  </si>
  <si>
    <t>LXJ1018ceazcTyf</t>
  </si>
  <si>
    <t>2023-12-18 04:02:07</t>
  </si>
  <si>
    <t>798264896</t>
  </si>
  <si>
    <t>P117517960</t>
  </si>
  <si>
    <t>LQR230911002BU2L</t>
  </si>
  <si>
    <t>女士休闲时尚爱心情侣无兜鸡眼抽绳套头卫衣 BU2 L</t>
  </si>
  <si>
    <t>1090</t>
  </si>
  <si>
    <t>54.5 MXN</t>
  </si>
  <si>
    <t>39.59857293002536</t>
  </si>
  <si>
    <t>976</t>
  </si>
  <si>
    <t>357.2</t>
  </si>
  <si>
    <t>ruizfernandofv@gmail.com</t>
  </si>
  <si>
    <t>2023-12-23 14:31:37</t>
  </si>
  <si>
    <t>YT2335221272046505</t>
  </si>
  <si>
    <t>2023-09-25 18:21:53</t>
  </si>
  <si>
    <t>88</t>
  </si>
  <si>
    <t>Gibobby Sudadera oversize mujer, Sudadera con Capucha con Bolsillos adjuntos y cordón de Manga Larga Gibobby</t>
  </si>
  <si>
    <t>976.0g/0.0m3</t>
  </si>
  <si>
    <t>551234300763</t>
  </si>
  <si>
    <t>2023-09-23 10:58:57.0</t>
  </si>
  <si>
    <t>2023-12-23 11:04:32</t>
  </si>
  <si>
    <t>2023-12-22 16:10:02</t>
  </si>
  <si>
    <t>LXJ10123x8uBiPT</t>
  </si>
  <si>
    <t>CWA210825045PKL</t>
  </si>
  <si>
    <t xml:space="preserve">女士休闲拼接纯色印花长袖连帽卫衣上衣 粉色 L  </t>
  </si>
  <si>
    <t>408</t>
  </si>
  <si>
    <t>50.53917528854777</t>
  </si>
  <si>
    <t>455.89</t>
  </si>
  <si>
    <t>848</t>
  </si>
  <si>
    <t>Gibobby Sudadera con cierre mujer, Sudadera con capucha para mujer, ajuste holgado, de felpa, casual Gibobby</t>
  </si>
  <si>
    <t>2021-08-25 21:29:40.0</t>
  </si>
  <si>
    <t>LXJ1012Ot9iBD6T</t>
  </si>
  <si>
    <t>CWA210825044RDL</t>
  </si>
  <si>
    <t xml:space="preserve">女士休闲拼接纯色印花长袖连帽卫衣上衣 红色 L  </t>
  </si>
  <si>
    <t>307</t>
  </si>
  <si>
    <t>24.832251781426876</t>
  </si>
  <si>
    <t>224</t>
  </si>
  <si>
    <t>2021-08-26 18:43:10</t>
  </si>
  <si>
    <t>Gibobby Sudadera de mujer, Casual Sudadera con Capucha para Mujer(Rojo,G) Gibobby</t>
  </si>
  <si>
    <t>2021-08-25 21:21:03.0</t>
  </si>
  <si>
    <t>LXJ10123sG6sNaJ</t>
  </si>
  <si>
    <t>2023-12-18 00:38:12</t>
  </si>
  <si>
    <t>798264897</t>
  </si>
  <si>
    <t>P117514395</t>
  </si>
  <si>
    <t>TXS230221008BK</t>
  </si>
  <si>
    <t>女士纯色性感大码系带情趣三点式迷你睡衣 黑色</t>
  </si>
  <si>
    <t>206</t>
  </si>
  <si>
    <t>191</t>
  </si>
  <si>
    <t>30.9 MXN</t>
  </si>
  <si>
    <t>6.64</t>
  </si>
  <si>
    <t>25.65</t>
  </si>
  <si>
    <t>32</t>
  </si>
  <si>
    <t>roca99hdfb@gmail.com</t>
  </si>
  <si>
    <t>2023-12-18 17:25:53</t>
  </si>
  <si>
    <t>YT2335221272046501</t>
  </si>
  <si>
    <t>2023-03-01 11:55:02</t>
  </si>
  <si>
    <t>Gibobby Tangas de mujer sexy encaje Lencería de encaje para mujer Conjunto de sujetador y panty de 2 Gibobby</t>
  </si>
  <si>
    <t>32.0g/0.0m3</t>
  </si>
  <si>
    <t>551233900508</t>
  </si>
  <si>
    <t>2023-02-28 16:59:55.0</t>
  </si>
  <si>
    <t>2023-12-18 09:45:14</t>
  </si>
  <si>
    <t>2023-12-18 09:02:41</t>
  </si>
  <si>
    <t>LXJ1129a7nbixAUx</t>
  </si>
  <si>
    <t>2023-12-17 07:54:43</t>
  </si>
  <si>
    <t>798264898</t>
  </si>
  <si>
    <t>P117506630</t>
  </si>
  <si>
    <t>WUY220926004CL</t>
  </si>
  <si>
    <t>一件代发  泰国乳胶内衣女裹胸无钢圈睡眠背心式性感聚拢运动文胸 C L</t>
  </si>
  <si>
    <t>210</t>
  </si>
  <si>
    <t>31.88 MXN</t>
  </si>
  <si>
    <t>11.2</t>
  </si>
  <si>
    <t>16.934676258992805</t>
  </si>
  <si>
    <t>MKT_WUY [吴晓燕]</t>
  </si>
  <si>
    <t>elagunaalma@hotmail.com</t>
  </si>
  <si>
    <t>2023-12-21 19:16:20</t>
  </si>
  <si>
    <t>YT2335221272046509</t>
  </si>
  <si>
    <t>2022-09-28 12:15:30</t>
  </si>
  <si>
    <t>0.75</t>
  </si>
  <si>
    <t>Gibobby Brasier deportivo para mujer Ropa interior fina de copa completa para mujer, Sujetador depor Gibobby</t>
  </si>
  <si>
    <t>154.0g/0.0m3</t>
  </si>
  <si>
    <t>916237002615</t>
  </si>
  <si>
    <t>2022-09-27 19:27:07.0</t>
  </si>
  <si>
    <t>2023-12-21 16:46:33</t>
  </si>
  <si>
    <t>LXJ1120bLzA3YHTT</t>
  </si>
  <si>
    <t>WES220107111BGL</t>
  </si>
  <si>
    <t>Y8413女士大码全罩杯前扣式舒适聚拢透气薄款无钢圈内衣文 米色 L</t>
  </si>
  <si>
    <t>19.845323741007196</t>
  </si>
  <si>
    <t>2022-01-10 18:35:15</t>
  </si>
  <si>
    <t>Gibobby Brasier Deportivo Mujer Plus Sujetador completo Confort Sine transpirable Reúne Botón de ani Gibobby</t>
  </si>
  <si>
    <t>2022-01-07 13:26:33.0</t>
  </si>
  <si>
    <t>LXJ1109aWb6MUCrC</t>
  </si>
  <si>
    <t>2023-12-18 08:56:33</t>
  </si>
  <si>
    <t>798269415</t>
  </si>
  <si>
    <t>P117524674</t>
  </si>
  <si>
    <t>FZW220928003BKM</t>
  </si>
  <si>
    <t>冬季新款加厚宽松棉衣大码女式棉服 黑色 M</t>
  </si>
  <si>
    <t>887</t>
  </si>
  <si>
    <t>872</t>
  </si>
  <si>
    <t>133.05 MXN</t>
  </si>
  <si>
    <t>99.13</t>
  </si>
  <si>
    <t>978</t>
  </si>
  <si>
    <t>1020</t>
  </si>
  <si>
    <t>marisolgonzalezeslava@gmail.com</t>
  </si>
  <si>
    <t>2023-12-25 09:22:01</t>
  </si>
  <si>
    <t>LJ002916687CN</t>
  </si>
  <si>
    <t>2022-10-11 18:10:16</t>
  </si>
  <si>
    <t>Gibobby Chaquetas de plumón para mujer, Abrigo larga acolchado ligero de manga larga con cremallera Gibobby</t>
  </si>
  <si>
    <t>978.0g/0.0m3</t>
  </si>
  <si>
    <t>881236503737</t>
  </si>
  <si>
    <t>2022-10-10 21:54:03.0</t>
  </si>
  <si>
    <t>2023-12-18 09:10:07</t>
  </si>
  <si>
    <t>2023-12-25 08:49:37</t>
  </si>
  <si>
    <t>2023-12-18 09:13:49</t>
  </si>
  <si>
    <t>2023-12-25 07:53:03</t>
  </si>
  <si>
    <t>LXJ1018GAeofDZj</t>
  </si>
  <si>
    <t>2023-12-18 09:58:40</t>
  </si>
  <si>
    <t>Boys Outfits&amp;Set 男童套装</t>
  </si>
  <si>
    <t>798276727</t>
  </si>
  <si>
    <t>P117526000</t>
  </si>
  <si>
    <t>ZWL231025008KH5Y</t>
  </si>
  <si>
    <t>儿童套装冬季男童拼色上衣裤子运动2件套 卡其色 5Y</t>
  </si>
  <si>
    <t>50.25 MXN</t>
  </si>
  <si>
    <t>52.19</t>
  </si>
  <si>
    <t>298</t>
  </si>
  <si>
    <t>288</t>
  </si>
  <si>
    <t>MKT_ZWL [张文丽]</t>
  </si>
  <si>
    <t>brisich60@gmail.com</t>
  </si>
  <si>
    <t>2023-12-21 15:20:26</t>
  </si>
  <si>
    <t>YT2335221272116014</t>
  </si>
  <si>
    <t>2023-10-26 18:22:12</t>
  </si>
  <si>
    <t>55</t>
  </si>
  <si>
    <t>MKT_FYF [范怡斐]</t>
  </si>
  <si>
    <t>Gibobby Conjunto de pants para niño Conjunto de ropa de 2 piezas para niños pequeños de invierno de manga larga con estampado de colores(Caqui,4-5 Años)</t>
  </si>
  <si>
    <t>298.0g/0.0m3</t>
  </si>
  <si>
    <t>918234803058</t>
  </si>
  <si>
    <t>2023-10-26 09:16:41.0</t>
  </si>
  <si>
    <t>2023-12-18 10:10:03</t>
  </si>
  <si>
    <t>2023-12-21 14:26:32</t>
  </si>
  <si>
    <t>2023-12-18 10:12:48</t>
  </si>
  <si>
    <t>2023-12-21 09:57:59</t>
  </si>
  <si>
    <t>LXJ1101bUIaHaEEj</t>
  </si>
  <si>
    <t>2023-12-18 12:57:33</t>
  </si>
  <si>
    <t>798282110</t>
  </si>
  <si>
    <t>P117529585</t>
  </si>
  <si>
    <t>AWL230812003BKL2</t>
  </si>
  <si>
    <t>女士马甲棉袄坎肩宽松棉衣 黑色 XXL</t>
  </si>
  <si>
    <t>707</t>
  </si>
  <si>
    <t>692</t>
  </si>
  <si>
    <t>106.05 MXN</t>
  </si>
  <si>
    <t>68.0</t>
  </si>
  <si>
    <t>70.4</t>
  </si>
  <si>
    <t>640</t>
  </si>
  <si>
    <t>brianda0623@gmail.com</t>
  </si>
  <si>
    <t>LJ002926083CN</t>
  </si>
  <si>
    <t>2023-08-25 18:22:11</t>
  </si>
  <si>
    <t>Gibobby Chaleco dama, Chaleco acolchado con cierre para mujer, cuello alto, sin mangas, con bolsillo Gibobby</t>
  </si>
  <si>
    <t>918235102062</t>
  </si>
  <si>
    <t>2023-08-25 14:49:38.0</t>
  </si>
  <si>
    <t>2023-12-18 13:10:04</t>
  </si>
  <si>
    <t>2023-12-18 13:41:35</t>
  </si>
  <si>
    <t>LXJ1010QAveJ2ra</t>
  </si>
  <si>
    <t>2023-12-18 23:42:46</t>
  </si>
  <si>
    <t>798294225</t>
  </si>
  <si>
    <t>P117531581</t>
  </si>
  <si>
    <t>AWJ230807009BUM</t>
  </si>
  <si>
    <t>女士秋冬纯色高领长袖镂空休闲打底针织毛衣 蓝色 M</t>
  </si>
  <si>
    <t>1447</t>
  </si>
  <si>
    <t>421</t>
  </si>
  <si>
    <t>72.35 MXN</t>
  </si>
  <si>
    <t>41.402078740157485</t>
  </si>
  <si>
    <t>1404</t>
  </si>
  <si>
    <t>MKT_AWJ [廖文君]</t>
  </si>
  <si>
    <t>alma.schnell3@gmail.com</t>
  </si>
  <si>
    <t>2023-12-22 11:30:18</t>
  </si>
  <si>
    <t>YT2335321272028919</t>
  </si>
  <si>
    <t>2023-08-09 18:21:30</t>
  </si>
  <si>
    <t>134</t>
  </si>
  <si>
    <t>Gibobby Suéteres mujer, Suéteres para Mujer Suéter Mujeres otoño Manga Larga Elegante suéter suéter Gibobby</t>
  </si>
  <si>
    <t>1404.0g/0.0m3</t>
  </si>
  <si>
    <t>918236100527</t>
  </si>
  <si>
    <t>2023-08-09 11:28:27.0</t>
  </si>
  <si>
    <t>2023-12-19 00:10:04</t>
  </si>
  <si>
    <t>2023-12-22 10:28:58</t>
  </si>
  <si>
    <t>2023-12-19 00:47:09</t>
  </si>
  <si>
    <t>2023-12-21 16:10:05</t>
  </si>
  <si>
    <t>LXJ1019u9AegGYr</t>
  </si>
  <si>
    <t>SPX221102013GYL</t>
  </si>
  <si>
    <t>女装秋冬新款针织衫女学院风粗线麻花高领套头毛衣 灰色 L</t>
  </si>
  <si>
    <t>533</t>
  </si>
  <si>
    <t>43.0</t>
  </si>
  <si>
    <t>71.96075590551182</t>
  </si>
  <si>
    <t>584</t>
  </si>
  <si>
    <t>MKT_SPX [苏佩欣]</t>
  </si>
  <si>
    <t>2022-11-03 18:22:39</t>
  </si>
  <si>
    <t>413</t>
  </si>
  <si>
    <t>Gibobby Suéter de cuello alto mujer, Suéter de manga larga para niñas y mujeres a rayas, color crema Gibobby</t>
  </si>
  <si>
    <t>2022-11-03 14:26:33.0</t>
  </si>
  <si>
    <t>LXJ1019rsDOmzoQ</t>
  </si>
  <si>
    <t>ZFH210803877GNM</t>
  </si>
  <si>
    <t>NX8018 冬季女士长袖高领针织毛衣 绿色 M</t>
  </si>
  <si>
    <t>43.127165354330714</t>
  </si>
  <si>
    <t>AD_WLT [吴利婷]</t>
  </si>
  <si>
    <t>2021-08-04 18:36:11</t>
  </si>
  <si>
    <t>Gibobby Casual Suéter para Mujer, Suéter de cuello alto para mujer, de punto trenzado, de color sóli Gibobby</t>
  </si>
  <si>
    <t>2021-08-03 19:36:02.0</t>
  </si>
  <si>
    <t>800959</t>
  </si>
  <si>
    <t>LXJ1019Ex6TYHBf</t>
  </si>
  <si>
    <t>2023-12-19 01:36:04</t>
  </si>
  <si>
    <t>798297374</t>
  </si>
  <si>
    <t>P117533143</t>
  </si>
  <si>
    <t>YYD230729004GNS</t>
  </si>
  <si>
    <t>女士休闲宽松渐变色印花圆领长袖无帽卫衣上衣 绿色 S</t>
  </si>
  <si>
    <t>414</t>
  </si>
  <si>
    <t>399</t>
  </si>
  <si>
    <t>62.1 MXN</t>
  </si>
  <si>
    <t>35.2</t>
  </si>
  <si>
    <t>37.08</t>
  </si>
  <si>
    <t>248</t>
  </si>
  <si>
    <t>238</t>
  </si>
  <si>
    <t>vhloaz@hotmail.com</t>
  </si>
  <si>
    <t>2023-12-24 17:11:56</t>
  </si>
  <si>
    <t>LJ002939056CN</t>
  </si>
  <si>
    <t>2023-08-03 18:50:08</t>
  </si>
  <si>
    <t>142</t>
  </si>
  <si>
    <t>Gibobby Casual Sudadera para Mujer Sudadera de Manga Larga para Mujer de Gran tamaño de otoño de Tal Gibobby</t>
  </si>
  <si>
    <t>248.0g/0.0m3</t>
  </si>
  <si>
    <t>918236201213</t>
  </si>
  <si>
    <t>2023-08-02 20:59:07.0</t>
  </si>
  <si>
    <t>2023-12-19 02:10:05</t>
  </si>
  <si>
    <t>2023-12-24 15:38:12</t>
  </si>
  <si>
    <t>2023-12-19 08:34:11</t>
  </si>
  <si>
    <t>2023-12-24 15:35:01</t>
  </si>
  <si>
    <t>LXJ10165e2GizM5</t>
  </si>
  <si>
    <t>2023-12-19 04:19:14</t>
  </si>
  <si>
    <t>798302671</t>
  </si>
  <si>
    <t>P117536473</t>
  </si>
  <si>
    <t>LQR231010008RDL</t>
  </si>
  <si>
    <t>女士时尚圣诞节毛衣圣诞袜雪花针织衫宽松圆领长袖毛衣 红色 L</t>
  </si>
  <si>
    <t>592</t>
  </si>
  <si>
    <t>577</t>
  </si>
  <si>
    <t>88.8 MXN</t>
  </si>
  <si>
    <t>51.0</t>
  </si>
  <si>
    <t>58.5</t>
  </si>
  <si>
    <t>&lt;[李莹(12-19)：12-23发1]&gt;</t>
  </si>
  <si>
    <t>503.8</t>
  </si>
  <si>
    <t>irmdelatorre@live.com</t>
  </si>
  <si>
    <t>2023-12-21 15:06:37</t>
  </si>
  <si>
    <t>LJ002939060CN</t>
  </si>
  <si>
    <t>2023-10-13 18:33:04</t>
  </si>
  <si>
    <t>68</t>
  </si>
  <si>
    <t>Gibobby Suéter de navidad para mujer Suéter navideño a la moda para mujer, calcetines navideños, pre Gibobby</t>
  </si>
  <si>
    <t>500.0g/0.0m3</t>
  </si>
  <si>
    <t>918236701822</t>
  </si>
  <si>
    <t>2023-10-13 16:49:30.0</t>
  </si>
  <si>
    <t>2023-12-19 05:10:42</t>
  </si>
  <si>
    <t>2023-12-21 14:56:29</t>
  </si>
  <si>
    <t>2023-12-21 14:51:38</t>
  </si>
  <si>
    <t>LXJ1103bhO1jE929</t>
  </si>
  <si>
    <t>2023-12-19 14:03:28</t>
  </si>
  <si>
    <t>798314271</t>
  </si>
  <si>
    <t>P117549644</t>
  </si>
  <si>
    <t>JMW220914010RD</t>
  </si>
  <si>
    <t>圣诞装饰亮片鲁道夫公仔带灯发光无脸娃娃摆件 红色</t>
  </si>
  <si>
    <t>179</t>
  </si>
  <si>
    <t>164</t>
  </si>
  <si>
    <t>26.85 MXN</t>
  </si>
  <si>
    <t>13.11</t>
  </si>
  <si>
    <t>25.69</t>
  </si>
  <si>
    <t>114</t>
  </si>
  <si>
    <t>113</t>
  </si>
  <si>
    <t>MKT_JMW [吴家苗]</t>
  </si>
  <si>
    <t>leticia.rivera63@outlook.com</t>
  </si>
  <si>
    <t>2023-12-20 14:38:39</t>
  </si>
  <si>
    <t>PD_Huangguangpei [黄光培]</t>
  </si>
  <si>
    <t>LJ002951349CN</t>
  </si>
  <si>
    <t>2022-09-16 18:13:51</t>
  </si>
  <si>
    <t>459</t>
  </si>
  <si>
    <t>MKT_KMH [邝敏华]</t>
  </si>
  <si>
    <t>Gibobby Decoraciones navideñas Lentejuelas Muñeca con lámpara luminosa Artículos decoración de Adorno de escritorio de Navidad(Red)</t>
  </si>
  <si>
    <t>114.0g/0.0m3</t>
  </si>
  <si>
    <t>919235202335</t>
  </si>
  <si>
    <t>2022-09-16 14:37:41.0</t>
  </si>
  <si>
    <t>2023-12-19 14:10:05</t>
  </si>
  <si>
    <t>2023-12-20 11:51:56</t>
  </si>
  <si>
    <t>2023-12-20 09:10:00</t>
  </si>
  <si>
    <t>2023-12-20 09:22:09</t>
  </si>
  <si>
    <t>LXJa1115ajo53z2iC</t>
  </si>
  <si>
    <t>2023-12-20 04:13:20</t>
  </si>
  <si>
    <t>798331296</t>
  </si>
  <si>
    <t>P117556789</t>
  </si>
  <si>
    <t>HCJ230331001SBL</t>
  </si>
  <si>
    <t>女士一字肩绑带睡衣情趣内衣 天蓝色 L</t>
  </si>
  <si>
    <t>186</t>
  </si>
  <si>
    <t>28.5 MXN</t>
  </si>
  <si>
    <t>23.964705882352945</t>
  </si>
  <si>
    <t>rdecastilla@yahoo.com.mx</t>
  </si>
  <si>
    <t>2023-12-20 15:46:34</t>
  </si>
  <si>
    <t>YT2335421272037690</t>
  </si>
  <si>
    <t>2023-04-04 11:51:03</t>
  </si>
  <si>
    <t>Gibobby Lenceria para mujer sexy Lencería de malla sexy para mujer Conjunto de ropa interior de vend Gibobby</t>
  </si>
  <si>
    <t>88.0g/0.0m3</t>
  </si>
  <si>
    <t>553232502749</t>
  </si>
  <si>
    <t>2023-03-31 17:04:09.0</t>
  </si>
  <si>
    <t>2023-12-20 05:10:04</t>
  </si>
  <si>
    <t>2023-12-20 14:41:10</t>
  </si>
  <si>
    <t>2023-12-20 08:34:29</t>
  </si>
  <si>
    <t>2023-12-20 08:42:03</t>
  </si>
  <si>
    <t>LXJ1127aRROpH2AX</t>
  </si>
  <si>
    <t>LSI211122946BKL</t>
  </si>
  <si>
    <t>女士渔网性感蕾丝内衣套装 黑色 L</t>
  </si>
  <si>
    <t>4.5</t>
  </si>
  <si>
    <t>16.775294117647057</t>
  </si>
  <si>
    <t>yanfei [颜菲]</t>
  </si>
  <si>
    <t>2021-11-23 18:24:29</t>
  </si>
  <si>
    <t>756</t>
  </si>
  <si>
    <t>Gibobby Conjunto Lencería Tanga Y Bralette Sexy Lace Lingerie Juego de ropa interior Ropa de acero Ring Pajamas Garter(Negro, G)</t>
  </si>
  <si>
    <t>2021-11-22 20:23:28.0</t>
  </si>
  <si>
    <t>LXJ1209b5q6PZ0nI</t>
  </si>
  <si>
    <t>2023-12-20 13:58:36</t>
  </si>
  <si>
    <t>798341268</t>
  </si>
  <si>
    <t>P117569971</t>
  </si>
  <si>
    <t>ZTY221019006GYM</t>
  </si>
  <si>
    <t>男士条纹低领毛衣 灰色 M</t>
  </si>
  <si>
    <t>333</t>
  </si>
  <si>
    <t>52.2 MXN</t>
  </si>
  <si>
    <t>ere.fabi_90@hotmail.com</t>
  </si>
  <si>
    <t>2023-12-20 17:52:07</t>
  </si>
  <si>
    <t>YT2335421272167869</t>
  </si>
  <si>
    <t>2022-10-20 18:34:56</t>
  </si>
  <si>
    <t>Gibobby Suéter para hombre Suéter de Manga Larga con Cuello Redondo suéter para Hombre color cálido( Gibobby</t>
  </si>
  <si>
    <t>554232802996</t>
  </si>
  <si>
    <t>2022-10-20 15:48:14.0</t>
  </si>
  <si>
    <t>2023-12-20 14:10:04</t>
  </si>
  <si>
    <t>2023-12-20 17:27:08</t>
  </si>
  <si>
    <t>2023-12-20 14:13:17</t>
  </si>
  <si>
    <t>2023-12-20 14:22:02</t>
  </si>
  <si>
    <t>LXJ1025v6cNGqQu</t>
  </si>
  <si>
    <t>2023-12-20 23:20:42</t>
  </si>
  <si>
    <t>798350075</t>
  </si>
  <si>
    <t>P117571428</t>
  </si>
  <si>
    <t>LQR230919001BKL</t>
  </si>
  <si>
    <t>女士时尚休闲圣诞节亮片长袖针织衫宽松套头圣诞树刺绣毛衣 黑色 L</t>
  </si>
  <si>
    <t>60.07</t>
  </si>
  <si>
    <t>ara_gab@hotmail.com</t>
  </si>
  <si>
    <t>2023-12-24 15:11:56</t>
  </si>
  <si>
    <t>YT2335521272025595</t>
  </si>
  <si>
    <t>94</t>
  </si>
  <si>
    <t>410.0g/0.0m3</t>
  </si>
  <si>
    <t>920236100318</t>
  </si>
  <si>
    <t>2023-12-21 00:10:04</t>
  </si>
  <si>
    <t>2023-12-24 14:48:11</t>
  </si>
  <si>
    <t>2023-12-21 08:32:37</t>
  </si>
  <si>
    <t>2023-12-24 14:23:59</t>
  </si>
  <si>
    <t>LXJ1103b0vToiI0L</t>
  </si>
  <si>
    <t>2023-12-21 00:47:09</t>
  </si>
  <si>
    <t>Women's Outerwear Vests 女士外套背心3</t>
  </si>
  <si>
    <t>798351227</t>
  </si>
  <si>
    <t>P117572913</t>
  </si>
  <si>
    <t>HHQ220825001BKS</t>
  </si>
  <si>
    <t>女士保暖羽绒服背心宽松拉链马甲 黑色 S</t>
  </si>
  <si>
    <t>763</t>
  </si>
  <si>
    <t>116.7 MXN</t>
  </si>
  <si>
    <t>59.0</t>
  </si>
  <si>
    <t>90.63</t>
  </si>
  <si>
    <t>878</t>
  </si>
  <si>
    <t>900</t>
  </si>
  <si>
    <t>qufo_pau@hotmail.com</t>
  </si>
  <si>
    <t>2023-12-21 15:07:32</t>
  </si>
  <si>
    <t>LJ002974146CN</t>
  </si>
  <si>
    <t>2022-08-29 12:00:15</t>
  </si>
  <si>
    <t>Gibobby Chamarra acolchada para mujer, Lindo cárdigan largo de invierno con cremallera para mujer, c Gibobby</t>
  </si>
  <si>
    <t>878.0g/0.0m3</t>
  </si>
  <si>
    <t>919236901642</t>
  </si>
  <si>
    <t>2022-08-25 16:13:49.0</t>
  </si>
  <si>
    <t>2023-12-21 01:10:05</t>
  </si>
  <si>
    <t>2023-12-21 14:39:25</t>
  </si>
  <si>
    <t>2023-12-21 08:42:02</t>
  </si>
  <si>
    <t>LXJ1010RAkjWUaY</t>
  </si>
  <si>
    <t>2023-12-21 03:33:19</t>
  </si>
  <si>
    <t>798355107</t>
  </si>
  <si>
    <t>P117576155</t>
  </si>
  <si>
    <t>6.99</t>
  </si>
  <si>
    <t>25.15</t>
  </si>
  <si>
    <t>jassa.i@hotmail.com</t>
  </si>
  <si>
    <t>2023-12-23 17:39:17</t>
  </si>
  <si>
    <t>YT2335521272025594</t>
  </si>
  <si>
    <t>297</t>
  </si>
  <si>
    <t>Gibobby Tangas de mujer sexy encaje Lencería de encaje para mujer Conjunto de sujetador y panty de 2 piezas sexy Malla transparente Ajuste de encaje Underwrie para(Negro, Talla única)</t>
  </si>
  <si>
    <t>554234203710</t>
  </si>
  <si>
    <t>2023-12-21 04:10:05</t>
  </si>
  <si>
    <t>2023-12-23 17:22:19</t>
  </si>
  <si>
    <t>2023-12-23 17:19:27</t>
  </si>
  <si>
    <t>2023-12-21 07:26:13</t>
  </si>
  <si>
    <t>798359919</t>
  </si>
  <si>
    <t>P117581221</t>
  </si>
  <si>
    <t>WMQ230719001BKM</t>
  </si>
  <si>
    <t>男士秋冬基本款高领毛衣打底衫 黑色 M</t>
  </si>
  <si>
    <t>3867</t>
  </si>
  <si>
    <t>82.86 MXN</t>
  </si>
  <si>
    <t>37.20142857142857</t>
  </si>
  <si>
    <t>深圳极兔-极兔环球专线-标准普货(1273)</t>
  </si>
  <si>
    <t>197</t>
  </si>
  <si>
    <t>3536</t>
  </si>
  <si>
    <t>268</t>
  </si>
  <si>
    <t>AST_WMQ [吴梦庆]</t>
  </si>
  <si>
    <t>psychoadelic@hotmail.com</t>
  </si>
  <si>
    <t>2023-12-26 17:33:52</t>
  </si>
  <si>
    <t>MX0202865885</t>
  </si>
  <si>
    <t>798359919272299</t>
  </si>
  <si>
    <t>2023-07-21 18:31:53</t>
  </si>
  <si>
    <t>34.171</t>
  </si>
  <si>
    <t>0.1</t>
  </si>
  <si>
    <t>Gibobby Suéter cuello alto hombre Chamarra de Traje Casual para Hombre, Ligera(Negro,M) Gibobby</t>
  </si>
  <si>
    <t>3536.0g/0.0m3</t>
  </si>
  <si>
    <t>551234100904</t>
  </si>
  <si>
    <t>2023-07-21 16:00:39.0</t>
  </si>
  <si>
    <t>2023-12-21 08:10:04</t>
  </si>
  <si>
    <t>2023-12-26 10:45:39</t>
  </si>
  <si>
    <t>2023-12-25 14:10:02</t>
  </si>
  <si>
    <t>LXJ1025F1AdruOS</t>
  </si>
  <si>
    <t>WMQ230719001NYM</t>
  </si>
  <si>
    <t>男士秋冬基本款高领毛衣打底衫 藏青 M</t>
  </si>
  <si>
    <t>278</t>
  </si>
  <si>
    <t>Gibobby Suéter ligero hombre Suéter de cuello alto para hombre, estilo informal, de punto trenzado, Gibobby</t>
  </si>
  <si>
    <t>LXJ1025F1AdrCIh</t>
  </si>
  <si>
    <t>FBE230815003DYM</t>
  </si>
  <si>
    <t>男士毛衣半拉链纯色针织衫毛衣外套 深灰色 M</t>
  </si>
  <si>
    <t>544</t>
  </si>
  <si>
    <t>2023-08-17 18:28:05</t>
  </si>
  <si>
    <t>130</t>
  </si>
  <si>
    <t>Gibobby Suéter para hombre Suéteres Casuales de Cuello Alto para Hombre con Estampado Trenzado y Man Gibobby</t>
  </si>
  <si>
    <t>2023-08-17 16:20:06.0</t>
  </si>
  <si>
    <t>LXJ1025Z4pkVR41</t>
  </si>
  <si>
    <t>FZQ230818020DYM</t>
  </si>
  <si>
    <t>男士半高领花纹长袖针织衫 深灰色 M</t>
  </si>
  <si>
    <t>33.25</t>
  </si>
  <si>
    <t>2023-08-22 18:26:53</t>
  </si>
  <si>
    <t>125</t>
  </si>
  <si>
    <t>Gibobby Suéter ligero hombre Suéter de cuello alto para hombre, casual, ligero, suéter de punto(Gris Gibobby</t>
  </si>
  <si>
    <t>2023-08-21 20:36:32.0</t>
  </si>
  <si>
    <t>LXJ1025uqgfUkkl</t>
  </si>
  <si>
    <t>FZQ230818020BKM</t>
  </si>
  <si>
    <t>男士半高领花纹长袖针织衫 黑色 M</t>
  </si>
  <si>
    <t>Gibobby Suéter cuello alto hombre Suéter de cuello alto para hombre, casual, ajustado, básico, de pu Gibobby</t>
  </si>
  <si>
    <t>LXJ1025uqgfUOMq</t>
  </si>
  <si>
    <t>CMG210812254BKM</t>
  </si>
  <si>
    <t>DL556男士秋冬英伦大码纯色围巾高领针织衫套头毛衣 黑色 M</t>
  </si>
  <si>
    <t>664</t>
  </si>
  <si>
    <t>654</t>
  </si>
  <si>
    <t>2021-08-13 18:20:33</t>
  </si>
  <si>
    <t>864</t>
  </si>
  <si>
    <t>Gibobby Suéter ligero hombre Suéter de cuello alto falso, de manga corta, color sólido, camisetas bá Gibobby</t>
  </si>
  <si>
    <t>2021-08-12 20:53:32.0</t>
  </si>
  <si>
    <t>LXJ10257LN6eMYQ</t>
  </si>
  <si>
    <t>CMG210812254DGM</t>
  </si>
  <si>
    <t>DL556男士秋冬英伦大码纯色围巾高领针织衫套头毛衣 深灰色M</t>
  </si>
  <si>
    <t>626</t>
  </si>
  <si>
    <t>2021-08-13 18:22:07</t>
  </si>
  <si>
    <t>Gibobby Suéter hombre Suéter de cuello alto ajustado para hombre, Tops térmicos de punto básicos inf Gibobby</t>
  </si>
  <si>
    <t>2021-08-12 21:03:48.0</t>
  </si>
  <si>
    <t>LXJ10257LN6ebeN</t>
  </si>
  <si>
    <t>2023-12-22 01:19:37</t>
  </si>
  <si>
    <t>798376317</t>
  </si>
  <si>
    <t>P117591523</t>
  </si>
  <si>
    <t>LWH211011205BUXL</t>
  </si>
  <si>
    <t>女士拼接连帽拉链口袋毛绒卫衣外套  蓝色 XL</t>
  </si>
  <si>
    <t>494</t>
  </si>
  <si>
    <t>74.1 MXN</t>
  </si>
  <si>
    <t>69.38</t>
  </si>
  <si>
    <t>506</t>
  </si>
  <si>
    <t>MKT_LWH [梁文华]</t>
  </si>
  <si>
    <t>medinapedro304@gmail.com</t>
  </si>
  <si>
    <t>2023-12-22 15:24:29</t>
  </si>
  <si>
    <t>YT2335621272024974</t>
  </si>
  <si>
    <t>2021-10-12 18:23:28</t>
  </si>
  <si>
    <t>Gibobby Chamarra Sherpa para mujer, Chaqueta de Invierno para Mujer con Capucha y Forro Polar, Abrig Gibobby</t>
  </si>
  <si>
    <t>506.0g/0.0m3</t>
  </si>
  <si>
    <t>555234000762</t>
  </si>
  <si>
    <t>2021-10-11 22:08:54.0</t>
  </si>
  <si>
    <t>2023-12-22 02:10:04</t>
  </si>
  <si>
    <t>2023-12-22 13:55:56</t>
  </si>
  <si>
    <t>2023-12-22 08:38:23</t>
  </si>
  <si>
    <t>2023-12-22 08:42:09</t>
  </si>
  <si>
    <t>LXJ1011LyxwRzmQ</t>
  </si>
  <si>
    <t>2023-12-22 03:10:59</t>
  </si>
  <si>
    <t>798381011</t>
  </si>
  <si>
    <t>P117593609</t>
  </si>
  <si>
    <t>YHP230421001BKM</t>
  </si>
  <si>
    <t>女士情趣内衣提臀丁字裤弹力内裤 黑色 M</t>
  </si>
  <si>
    <t>190</t>
  </si>
  <si>
    <t>25.95 MXN</t>
  </si>
  <si>
    <t>13.21</t>
  </si>
  <si>
    <t>13.211</t>
  </si>
  <si>
    <t>16.912860040567953</t>
  </si>
  <si>
    <t>29.8</t>
  </si>
  <si>
    <t>MKT_YHP [杨豪平]</t>
  </si>
  <si>
    <t>thinkcar7@gmail.com</t>
  </si>
  <si>
    <t>2023-12-23 16:57:14</t>
  </si>
  <si>
    <t>YT2335621272024977</t>
  </si>
  <si>
    <t>2023-04-27 18:12:25</t>
  </si>
  <si>
    <t>Gibobby Tangas de mujer sexy encaje Tangas sin costuras para mujer, ropa interior de Tanga de realce Gibobby</t>
  </si>
  <si>
    <t>555234200468</t>
  </si>
  <si>
    <t>2023-04-26 17:45:55.0</t>
  </si>
  <si>
    <t>2023-12-22 06:10:04</t>
  </si>
  <si>
    <t>2023-12-23 15:34:12</t>
  </si>
  <si>
    <t>LXJ1127a2J02Hcq4</t>
  </si>
  <si>
    <t>LJL80409142WHM</t>
  </si>
  <si>
    <t xml:space="preserve">S0014,HOT ARTIST ,女士性感蕾丝拼接内裤丁字裤 白色 M </t>
  </si>
  <si>
    <t>126</t>
  </si>
  <si>
    <t>11.06713995943205</t>
  </si>
  <si>
    <t>19.5</t>
  </si>
  <si>
    <t>User_MG [市场部_美工]</t>
  </si>
  <si>
    <t>2018-04-10 18:16:54</t>
  </si>
  <si>
    <t>2082</t>
  </si>
  <si>
    <t>Gibobby Lencería sexy para mujer Ropa interior Bragas Tanga Tangas Mujeres Encaje string T Lencería Gibobby</t>
  </si>
  <si>
    <t>2018-04-10 08:43:28.0</t>
  </si>
  <si>
    <t>LXJ1127aAyD92ZxZ</t>
  </si>
  <si>
    <t>2023-12-22 08:48:56</t>
  </si>
  <si>
    <t>798384257</t>
  </si>
  <si>
    <t>P117600392</t>
  </si>
  <si>
    <t>LSI220419953BKS</t>
  </si>
  <si>
    <t>女士性感漆皮情趣内衣睡衣 黑色 S</t>
  </si>
  <si>
    <t>181</t>
  </si>
  <si>
    <t>28.43 MXN</t>
  </si>
  <si>
    <t>18.48</t>
  </si>
  <si>
    <t>140</t>
  </si>
  <si>
    <t>gusjuarezo@outlook.com</t>
  </si>
  <si>
    <t>2023-12-23 15:37:46</t>
  </si>
  <si>
    <t>chenqian [陈倩]</t>
  </si>
  <si>
    <t>YT2335621272035581</t>
  </si>
  <si>
    <t>2022-04-20 18:19:15</t>
  </si>
  <si>
    <t>611</t>
  </si>
  <si>
    <t>Gibobby Conjunto de lencería Lencería para mujer, body de peluche de cuero, lencería Sexy recortada Gibobby</t>
  </si>
  <si>
    <t>140.0g/0.0m3</t>
  </si>
  <si>
    <t>919235002065</t>
  </si>
  <si>
    <t>2022-04-19 17:29:07.0</t>
  </si>
  <si>
    <t>2023-12-22 09:10:05</t>
  </si>
  <si>
    <t>2023-12-23 14:05:30</t>
  </si>
  <si>
    <t>2023-12-22 09:14:35</t>
  </si>
  <si>
    <t>2023-12-22 10:10:07</t>
  </si>
  <si>
    <t>LXJ1129a2YfkWYWL</t>
  </si>
  <si>
    <t>10.0</t>
  </si>
  <si>
    <t>15.4</t>
  </si>
  <si>
    <t>Gibobby Lencería sexy Lencería sexy para mujer Ropa de cosplay Mono sexy de ropa interior hueca(Negro CH)</t>
  </si>
  <si>
    <t>2023-12-22 11:35:37</t>
  </si>
  <si>
    <t>798387024</t>
  </si>
  <si>
    <t>P117604020</t>
  </si>
  <si>
    <t>XTY220727002BK</t>
  </si>
  <si>
    <t>时尚性感舒适蕾丝花边吊带情趣 黑色</t>
  </si>
  <si>
    <t>165</t>
  </si>
  <si>
    <t>24.75 MXN</t>
  </si>
  <si>
    <t>22.79</t>
  </si>
  <si>
    <t>24</t>
  </si>
  <si>
    <t>21</t>
  </si>
  <si>
    <t>MKT_XTY [夏婷玉]</t>
  </si>
  <si>
    <t>israel_dg@live.com.mx</t>
  </si>
  <si>
    <t>2023-12-22 15:30:17</t>
  </si>
  <si>
    <t>bianruihao [陈珊珊]</t>
  </si>
  <si>
    <t>YT2335621272126122</t>
  </si>
  <si>
    <t>2022-07-28 12:14:07</t>
  </si>
  <si>
    <t>Gibobby Lencería para mujer sexy tangas Conjunto de lencería sexy para mujer Conjunto de sujetador y Gibobby</t>
  </si>
  <si>
    <t>24.0g/0.0m3</t>
  </si>
  <si>
    <t>556232601542</t>
  </si>
  <si>
    <t>2022-07-28 11:21:35.0</t>
  </si>
  <si>
    <t>2023-12-22 12:10:04</t>
  </si>
  <si>
    <t>2023-12-22 14:45:54</t>
  </si>
  <si>
    <t>2023-12-22 13:45:42</t>
  </si>
  <si>
    <t>2023-12-22 14:02:03</t>
  </si>
  <si>
    <t>LXJ1129aUzIw3XTX</t>
  </si>
  <si>
    <t>2023-12-23 01:44:11</t>
  </si>
  <si>
    <t>798398378</t>
  </si>
  <si>
    <t>P117608954</t>
  </si>
  <si>
    <t>AWJ231009012BKS</t>
  </si>
  <si>
    <t>女士纯色爱心羽绒棉服外套短款气质带口袋带拉链棉衣棉袄 黑色 S</t>
  </si>
  <si>
    <t>1937</t>
  </si>
  <si>
    <t>797</t>
  </si>
  <si>
    <t>72.64 MXN</t>
  </si>
  <si>
    <t>70.92744874715261</t>
  </si>
  <si>
    <t>1806</t>
  </si>
  <si>
    <t>mario_minor@yahoo.com</t>
  </si>
  <si>
    <t>2024-01-05 15:25:49</t>
  </si>
  <si>
    <t>YT2336021272033782</t>
  </si>
  <si>
    <t>2023-10-11 18:33:49</t>
  </si>
  <si>
    <t>Gibobby Chamarra mujer, Chamarra Capitonada Térmica para Mujer, con Bolsas y Cierres, Cómoda y Juven Gibobby</t>
  </si>
  <si>
    <t>1806.0g/0.0m3</t>
  </si>
  <si>
    <t>556234002059</t>
  </si>
  <si>
    <t>2023-10-11 16:51:05.0</t>
  </si>
  <si>
    <t>2023-12-23 02:10:04</t>
  </si>
  <si>
    <t>2024-01-05 14:50:10</t>
  </si>
  <si>
    <t>2023-12-23 08:38:37</t>
  </si>
  <si>
    <t>2024-01-04 16:10:01</t>
  </si>
  <si>
    <t>LXJ1018ClUKmkOi</t>
  </si>
  <si>
    <t>Women's Casual Pants 女士休闲裤</t>
  </si>
  <si>
    <t>ZCZ231012018NYS</t>
  </si>
  <si>
    <t>女士秋冬保暖裤松紧腰纯色毛绒打底裤加绒长裤休闲裤 藏青 S</t>
  </si>
  <si>
    <t>360</t>
  </si>
  <si>
    <t>38.43673120728929</t>
  </si>
  <si>
    <t>2023-10-14 12:32:43</t>
  </si>
  <si>
    <t>83</t>
  </si>
  <si>
    <t>Gibobby Pantalones mujer frío Pantalones térmicos de invierno para mujer, capris térmicos, pantalone Gibobby</t>
  </si>
  <si>
    <t>2023-10-13 20:44:54.0</t>
  </si>
  <si>
    <t>LXJ1117Tgcnqumz</t>
  </si>
  <si>
    <t>ZCZ231012018GYS</t>
  </si>
  <si>
    <t>女士秋冬保暖裤松紧腰纯色毛绒打底裤加绒长裤休闲裤 灰色 S</t>
  </si>
  <si>
    <t>36.3131548974943</t>
  </si>
  <si>
    <t>LXJ1117TgcnqugJ</t>
  </si>
  <si>
    <t>ZCZ231012018BKS</t>
  </si>
  <si>
    <t>女士秋冬保暖裤松紧腰纯色毛绒打底裤加绒长裤休闲裤 黑色 S</t>
  </si>
  <si>
    <t>40.77266514806378</t>
  </si>
  <si>
    <t>LXJ1117TgcnqXAu</t>
  </si>
  <si>
    <t>2023-12-23 02:08:36</t>
  </si>
  <si>
    <t>798399411</t>
  </si>
  <si>
    <t>P117609455</t>
  </si>
  <si>
    <t>LZI220111904YEL</t>
  </si>
  <si>
    <t>女士性感蕾丝内衣睡衣连体衣 黄色 L</t>
  </si>
  <si>
    <t>171</t>
  </si>
  <si>
    <t>27.9 MXN</t>
  </si>
  <si>
    <t>9.98</t>
  </si>
  <si>
    <t>24.76</t>
  </si>
  <si>
    <t>MKT_LZI [林泽香]</t>
  </si>
  <si>
    <t>hecampos68@gmail.com</t>
  </si>
  <si>
    <t>2023-12-23 18:44:29</t>
  </si>
  <si>
    <t>hejinjin [何津津]</t>
  </si>
  <si>
    <t>AD_HKM [黄楷漫]</t>
  </si>
  <si>
    <t>YT2335721272037488</t>
  </si>
  <si>
    <t>2022-01-12 18:46:02</t>
  </si>
  <si>
    <t>709</t>
  </si>
  <si>
    <t>User_ZLY [张丽樱]</t>
  </si>
  <si>
    <t>Gibobby Tangas de mujer sexy para sexo Mujeres Sexy Encaje Lencería Ropa interior Ropa de dormir Mon Gibobby</t>
  </si>
  <si>
    <t>46.0g/0.0m3</t>
  </si>
  <si>
    <t>922236500329</t>
  </si>
  <si>
    <t>2022-01-11 21:19:47.0</t>
  </si>
  <si>
    <t>2023-12-23 03:10:05</t>
  </si>
  <si>
    <t>LXJ1129aXUTnov1C</t>
  </si>
  <si>
    <t>2023-12-23 17:37:30</t>
  </si>
  <si>
    <t>798412325</t>
  </si>
  <si>
    <t>P117622649</t>
  </si>
  <si>
    <t>187</t>
  </si>
  <si>
    <t>28.05 MXN</t>
  </si>
  <si>
    <t>26.04</t>
  </si>
  <si>
    <t>70</t>
  </si>
  <si>
    <t>sepulvedacarrascoluis480@gmail.com</t>
  </si>
  <si>
    <t>2023-12-25 13:57:44</t>
  </si>
  <si>
    <t>YT2335921272033685</t>
  </si>
  <si>
    <t>Gibobby Lencería sexy Lencería sexy para mujer Ropa de cosplay Mono sexy de ropa interior hueca(Blanco CH)</t>
  </si>
  <si>
    <t>70.0g/0.0m3</t>
  </si>
  <si>
    <t>849235201565</t>
  </si>
  <si>
    <t>2023-12-23 18:10:03</t>
  </si>
  <si>
    <t>2023-12-25 13:34:23</t>
  </si>
  <si>
    <t>2023-12-25 08:51:04</t>
  </si>
  <si>
    <t>2023-12-25 09:02:11</t>
  </si>
  <si>
    <t>2023-12-24 02:14:16</t>
  </si>
  <si>
    <t>798420228</t>
  </si>
  <si>
    <t>P117625181</t>
  </si>
  <si>
    <t>YLL220713004BKL</t>
  </si>
  <si>
    <t>AUTUMNW  I NTER 女士字母连帽卫衣 黑色 L</t>
  </si>
  <si>
    <t>374</t>
  </si>
  <si>
    <t>359</t>
  </si>
  <si>
    <t>56.1 MXN</t>
  </si>
  <si>
    <t>51.46</t>
  </si>
  <si>
    <t>bruiz_lic28@yahoo.com.mx</t>
  </si>
  <si>
    <t>2023-12-26 18:14:36</t>
  </si>
  <si>
    <t>YT2335921272033688</t>
  </si>
  <si>
    <t>2022-07-15 18:41:32</t>
  </si>
  <si>
    <t>Gibobby Sudadera con cierre mujer, Sudaderas con capucha tipo gofre para mujer, color soild, casual, Gibobby</t>
  </si>
  <si>
    <t>380.0g/0.0m3</t>
  </si>
  <si>
    <t>923236401526</t>
  </si>
  <si>
    <t>2022-07-13 10:54:31.0</t>
  </si>
  <si>
    <t>2023-12-24 03:10:04</t>
  </si>
  <si>
    <t>2023-12-26 17:36:42</t>
  </si>
  <si>
    <t>2023-12-26 17:29:31</t>
  </si>
  <si>
    <t>LXJ1012VFtvbTFA</t>
  </si>
  <si>
    <t>2023-12-24 12:02:14</t>
  </si>
  <si>
    <t>Women's Panties 女士内裤</t>
  </si>
  <si>
    <t>798428089</t>
  </si>
  <si>
    <t>P117635418</t>
  </si>
  <si>
    <t>FXP220906006WHM</t>
  </si>
  <si>
    <t>女士V型冰丝无痕性感丁字裤 白色 M</t>
  </si>
  <si>
    <t>21.9 MXN</t>
  </si>
  <si>
    <t>5.51</t>
  </si>
  <si>
    <t>27.673333333333332</t>
  </si>
  <si>
    <t>36</t>
  </si>
  <si>
    <t>22</t>
  </si>
  <si>
    <t>MKT_FXP [范西萍]</t>
  </si>
  <si>
    <t>victormorales148483@outlook.com</t>
  </si>
  <si>
    <t>2023-12-28 14:43:04</t>
  </si>
  <si>
    <t>YT2335921272033689</t>
  </si>
  <si>
    <t>2022-09-08 19:00:43</t>
  </si>
  <si>
    <t>Gibobby Calzones para mujer sexy Tanga de seda de hielo en forma de V sexy para mujer Tanga sin costuras Hipster de tiro bajo(Blanco,M)</t>
  </si>
  <si>
    <t>36.0g/0.0m3</t>
  </si>
  <si>
    <t>558232600964</t>
  </si>
  <si>
    <t>2022-09-08 14:48:13.0</t>
  </si>
  <si>
    <t>Aguascalientes</t>
  </si>
  <si>
    <t>2023-12-24 12:10:04</t>
  </si>
  <si>
    <t>2023-12-28 10:16:40</t>
  </si>
  <si>
    <t>2023-12-27 14:10:02</t>
  </si>
  <si>
    <t>LXJ1208akEN8gS5U</t>
  </si>
  <si>
    <t>ZXQ220728001BU</t>
  </si>
  <si>
    <t>女士蕾丝提花丁字裤低腰诱惑细带性感内裤 蓝色</t>
  </si>
  <si>
    <t>13.836666666666666</t>
  </si>
  <si>
    <t>11</t>
  </si>
  <si>
    <t>2022-07-29 17:55:03</t>
  </si>
  <si>
    <t>516</t>
  </si>
  <si>
    <t>Gibobby Paquete de Tanga para dama Tanga de jacquard de encaje sin costuras para mujer Cintura Corre Gibobby</t>
  </si>
  <si>
    <t>2022-07-29 16:03:08.0</t>
  </si>
  <si>
    <t>LXJ1208aglV0Rbzf</t>
  </si>
  <si>
    <t>2023-12-24 19:40:41</t>
  </si>
  <si>
    <t>798432713</t>
  </si>
  <si>
    <t>P117636985</t>
  </si>
  <si>
    <t>CJQ230711004WHS</t>
  </si>
  <si>
    <t>秋冬休闲露肩高领镂空长袖针织套头毛衣女 白色 S</t>
  </si>
  <si>
    <t>858</t>
  </si>
  <si>
    <t>64.35 MXN</t>
  </si>
  <si>
    <t>37.12</t>
  </si>
  <si>
    <t>620</t>
  </si>
  <si>
    <t>MKT_CJQ [陈静清]</t>
  </si>
  <si>
    <t>gisellepoinel@gmail.com</t>
  </si>
  <si>
    <t>2023-12-27 15:24:49</t>
  </si>
  <si>
    <t>YT2335921272033686</t>
  </si>
  <si>
    <t>2023-07-27 12:29:22</t>
  </si>
  <si>
    <t>153</t>
  </si>
  <si>
    <t>Gibobby Suéter de cuello alto mujer, Suéter de cuello alto para mujer, de punto trenzado, de color s Gibobby</t>
  </si>
  <si>
    <t>620.0g/0.0m3</t>
  </si>
  <si>
    <t>558233000541</t>
  </si>
  <si>
    <t>2023-07-26 18:56:10.0</t>
  </si>
  <si>
    <t>2023-12-24 20:10:04</t>
  </si>
  <si>
    <t>2023-12-27 10:40:12</t>
  </si>
  <si>
    <t>2023-12-25 08:41:02</t>
  </si>
  <si>
    <t>2023-12-26 15:10:05</t>
  </si>
  <si>
    <t>LXJ10194RdQxMLO</t>
  </si>
  <si>
    <t>CJQ230711004KHS</t>
  </si>
  <si>
    <t>秋冬休闲露肩高领镂空长袖针织套头毛衣女 卡其色 S</t>
  </si>
  <si>
    <t>Gibobby Suéter de Punto, Suéter ligero de manga larga con cuello alto para mujer(Caqui,CH) Gibobby</t>
  </si>
  <si>
    <t>LXJ10194RdQx1QY</t>
  </si>
  <si>
    <t>2023-12-25 03:39:02</t>
  </si>
  <si>
    <t>798439082</t>
  </si>
  <si>
    <t>P117640747</t>
  </si>
  <si>
    <t>JUN221116010SBXL</t>
  </si>
  <si>
    <t>女式加大码连帽运动衫长袖抽绳套头衫宽松卫衣带口袋 天蓝色 XL</t>
  </si>
  <si>
    <t>389</t>
  </si>
  <si>
    <t>58.35 MXN</t>
  </si>
  <si>
    <t>53.06</t>
  </si>
  <si>
    <t>388</t>
  </si>
  <si>
    <t>nancy47m40@gmail.com</t>
  </si>
  <si>
    <t>2023-12-25 15:03:51</t>
  </si>
  <si>
    <t>LJ003030939CN</t>
  </si>
  <si>
    <t>2022-11-21 18:17:49</t>
  </si>
  <si>
    <t>Gibobby Sudadera con Capucha para Mujer, Sudaderas con capucha y gráficos Y2K de ajuste holgado, sud Gibobby</t>
  </si>
  <si>
    <t>436.0g/0.0m3</t>
  </si>
  <si>
    <t>924236600276</t>
  </si>
  <si>
    <t>2022-11-17 15:16:37.0</t>
  </si>
  <si>
    <t>2023-12-25 04:10:03</t>
  </si>
  <si>
    <t>2023-12-25 14:19:15</t>
  </si>
  <si>
    <t>2023-12-25 09:02:14</t>
  </si>
  <si>
    <t>LXJ1012kmWcTGxj</t>
  </si>
  <si>
    <t>2023-12-25 08:30:14</t>
  </si>
  <si>
    <t>Boys Coat&amp;jacket 男童外套</t>
  </si>
  <si>
    <t>798443432</t>
  </si>
  <si>
    <t>P117644902</t>
  </si>
  <si>
    <t>HYM231102003PK100</t>
  </si>
  <si>
    <t>新款儿童长袖毛绒上衣带帽男女宝宝外衣保暖外套 粉色 100</t>
  </si>
  <si>
    <t>53.7 MXN</t>
  </si>
  <si>
    <t>41.54</t>
  </si>
  <si>
    <t>218</t>
  </si>
  <si>
    <t>204</t>
  </si>
  <si>
    <t>gabyvane43@hotmail.com</t>
  </si>
  <si>
    <t>2023-12-28 10:54:10</t>
  </si>
  <si>
    <t>liujiaqi [刘家琦]</t>
  </si>
  <si>
    <t>YT2335921272039100</t>
  </si>
  <si>
    <t>2023-11-03 18:27:47</t>
  </si>
  <si>
    <t>54</t>
  </si>
  <si>
    <t>Gibobby Chamarra de manga larga para bebéRecién Nacido Bebé Niñas Niños Chaqueta Orejas Con Capucha Gibobby</t>
  </si>
  <si>
    <t>218.0g/0.0m3</t>
  </si>
  <si>
    <t>558234601324</t>
  </si>
  <si>
    <t>2023-11-02 15:28:38.0</t>
  </si>
  <si>
    <t>2023-12-25 09:10:04</t>
  </si>
  <si>
    <t>2023-12-28 10:43:15</t>
  </si>
  <si>
    <t>2023-12-25 09:12:59</t>
  </si>
  <si>
    <t>2023-12-28 10:34:25</t>
  </si>
  <si>
    <t>LXJ1218uq1G7oas</t>
  </si>
  <si>
    <t>2023-12-25 09:13:40</t>
  </si>
  <si>
    <t>798444337</t>
  </si>
  <si>
    <t>P117645416</t>
  </si>
  <si>
    <t>QXH81031084L</t>
  </si>
  <si>
    <t>线条蕾丝文胸内裤性感内衣套装/L</t>
  </si>
  <si>
    <t>167</t>
  </si>
  <si>
    <t>152</t>
  </si>
  <si>
    <t>25.05 MXN</t>
  </si>
  <si>
    <t>7.0</t>
  </si>
  <si>
    <t>23.74</t>
  </si>
  <si>
    <t>42</t>
  </si>
  <si>
    <t>nessmaciel3@gmail.com</t>
  </si>
  <si>
    <t>2023-12-25 15:09:18</t>
  </si>
  <si>
    <t>[market_art] [[市场部_美工]]</t>
  </si>
  <si>
    <t>YT2335921272088695</t>
  </si>
  <si>
    <t>2018-10-31 18:42:25</t>
  </si>
  <si>
    <t>1880</t>
  </si>
  <si>
    <t>Gibobby Lencería para mujer sexy tangas Ropa de dormir G Lencería Sexy/ Charm String Mujer Tanga de Gibobby</t>
  </si>
  <si>
    <t>42.0g/0.0m3</t>
  </si>
  <si>
    <t>558232801283</t>
  </si>
  <si>
    <t>2018-10-31 14:33:47.0</t>
  </si>
  <si>
    <t>2023-12-25 10:10:04</t>
  </si>
  <si>
    <t>2023-12-25 14:53:23</t>
  </si>
  <si>
    <t>2023-12-25 10:16:08</t>
  </si>
  <si>
    <t>2023-12-25 10:22:06</t>
  </si>
  <si>
    <t>LXJ1129aBJCGiUp0</t>
  </si>
  <si>
    <t>2023-12-26 03:38:50</t>
  </si>
  <si>
    <t>798458360</t>
  </si>
  <si>
    <t>P117649583</t>
  </si>
  <si>
    <t>FJY230928003BKL</t>
  </si>
  <si>
    <t>女式大码毛绒外套冬季长袖拉链连帽衫大衣纯色保暖抓绒夹克外套 黑色 L</t>
  </si>
  <si>
    <t>529</t>
  </si>
  <si>
    <t>81.6 MXN</t>
  </si>
  <si>
    <t>62.07</t>
  </si>
  <si>
    <t>&lt;[自动(12-27)：此SKU已发货，物流单号：JT3059220064327]&gt;</t>
  </si>
  <si>
    <t>nohemiromerohernandez38@gmail.com</t>
  </si>
  <si>
    <t>2023-12-28 16:58:34</t>
  </si>
  <si>
    <t>LJ003049215CN</t>
  </si>
  <si>
    <t>Gibobby Chamarra larga para mujer, Abrigo larga acolchado ligero de manga larga con cremallera compl Gibobby</t>
  </si>
  <si>
    <t>542.0g/0.0m3</t>
  </si>
  <si>
    <t>559234200386</t>
  </si>
  <si>
    <t>2023-12-26 04:10:04</t>
  </si>
  <si>
    <t>2023-12-28 15:11:28</t>
  </si>
  <si>
    <t>2023-12-26 08:35:38</t>
  </si>
  <si>
    <t>2023-12-28 14:59:27</t>
  </si>
  <si>
    <t>LXJ1018QFKHQx8X</t>
  </si>
  <si>
    <t>2023-12-26 11:50:02</t>
  </si>
  <si>
    <t>798467231</t>
  </si>
  <si>
    <t>P117656308</t>
  </si>
  <si>
    <t>ASY230817003KHL</t>
  </si>
  <si>
    <t>女士秋冬季保暖舒适加大西装背心可内搭棉马甲加绒 卡其色 L</t>
  </si>
  <si>
    <t>39.65</t>
  </si>
  <si>
    <t>236</t>
  </si>
  <si>
    <t>286</t>
  </si>
  <si>
    <t>MKT_ASY [桑叶]</t>
  </si>
  <si>
    <t>mc130122@hotmail.com</t>
  </si>
  <si>
    <t>2023-12-26 15:13:57</t>
  </si>
  <si>
    <t>YT2336021272156205</t>
  </si>
  <si>
    <t>2023-08-19 12:28:29</t>
  </si>
  <si>
    <t>129</t>
  </si>
  <si>
    <t>Gibobby Chalecos de mujer, Chaleco corto con cuello alto para mujer, sin mangas, ligero(Caqui,G) Gibobby</t>
  </si>
  <si>
    <t>236.0g/0.0m3</t>
  </si>
  <si>
    <t>560232600694</t>
  </si>
  <si>
    <t>2023-08-19 09:55:48.0</t>
  </si>
  <si>
    <t>2023-12-26 12:10:03</t>
  </si>
  <si>
    <t>2023-12-26 14:57:58</t>
  </si>
  <si>
    <t>2023-12-26 13:46:34</t>
  </si>
  <si>
    <t>2023-12-26 14:02:03</t>
  </si>
  <si>
    <t>LXJ1010wYgtzZUr</t>
  </si>
  <si>
    <t>2023-12-27 00:39:48</t>
  </si>
  <si>
    <t>798479048</t>
  </si>
  <si>
    <t>P117658627</t>
  </si>
  <si>
    <t>LHL201215883L</t>
  </si>
  <si>
    <t>2条女式内裤性感绑带丁字裤 L</t>
  </si>
  <si>
    <t>22.5 MXN</t>
  </si>
  <si>
    <t>14.69620253164557</t>
  </si>
  <si>
    <t>lei.rosas.de.jesus@gmail.com</t>
  </si>
  <si>
    <t>2023-12-30 19:23:30</t>
  </si>
  <si>
    <t>hehongyan [何红艳]</t>
  </si>
  <si>
    <t>YT2336121272032097</t>
  </si>
  <si>
    <t>2020-12-16 18:49:35</t>
  </si>
  <si>
    <t>Gibobby Lencería sexy para mujer Día de San Valentín Calzoncillos Pantie Lencería elástica Bragas al Gibobby</t>
  </si>
  <si>
    <t>80.0g/0.0m3</t>
  </si>
  <si>
    <t>926235400213</t>
  </si>
  <si>
    <t>2020-12-15 22:51:42.0</t>
  </si>
  <si>
    <t>2023-12-27 01:10:04</t>
  </si>
  <si>
    <t>2023-12-30 15:04:37</t>
  </si>
  <si>
    <t>2023-12-27 08:34:06</t>
  </si>
  <si>
    <t>LXJ1129azcmu7uC9</t>
  </si>
  <si>
    <t>YHP230412013BK</t>
  </si>
  <si>
    <t>女士拼接内裤镂空条纹甜美蝴蝶结透视网纱性感丁字裤 黑色</t>
  </si>
  <si>
    <t>4.1</t>
  </si>
  <si>
    <t>4.784810126582278</t>
  </si>
  <si>
    <t>14</t>
  </si>
  <si>
    <t>2023-04-14 18:00:46</t>
  </si>
  <si>
    <t>Gibobby Pantaleta de encaje para mujer Ropa interior de mujer Tangas Encaje Bikini Bragas G String Tanga Stretch Ladie Breve Tanga(Negro,Talla única)</t>
  </si>
  <si>
    <t>2023-04-14 16:17:54.0</t>
  </si>
  <si>
    <t>LXJ1208adsrYWPLj</t>
  </si>
  <si>
    <t>LJL80409142RDS</t>
  </si>
  <si>
    <t xml:space="preserve">S0014,HOT ARTIST ,女士性感蕾丝拼接内裤丁字裤 红色 S </t>
  </si>
  <si>
    <t>127</t>
  </si>
  <si>
    <t>7.518987341772151</t>
  </si>
  <si>
    <t>2090</t>
  </si>
  <si>
    <t>2018-04-10 08:52:27.0</t>
  </si>
  <si>
    <t>LXJ1127aAyD929VO</t>
  </si>
  <si>
    <t>2023-12-27 04:45:12</t>
  </si>
  <si>
    <t>798485080</t>
  </si>
  <si>
    <t>P117662886</t>
  </si>
  <si>
    <t>ASY230817003PKXL</t>
  </si>
  <si>
    <t>女士秋冬季保暖舒适加大西装背心可内搭棉马甲加绒 粉色 XL</t>
  </si>
  <si>
    <t>40.96</t>
  </si>
  <si>
    <t>&lt;[自动(12-27)：此SKU 12-27 下单]&gt;</t>
  </si>
  <si>
    <t>252</t>
  </si>
  <si>
    <t>bettytraconis@outlook.com</t>
  </si>
  <si>
    <t>2023-12-27 17:38:34</t>
  </si>
  <si>
    <t>YT2336121272032096</t>
  </si>
  <si>
    <t>Gibobby Chalecos de invierno para mujer, Chaleco para mujer, cuello alto, ligero, con cremallera, ac Gibobby</t>
  </si>
  <si>
    <t>252.0g/0.0m3</t>
  </si>
  <si>
    <t>926236702778</t>
  </si>
  <si>
    <t>2023-12-27 05:10:03</t>
  </si>
  <si>
    <t>2023-12-27 16:50:27</t>
  </si>
  <si>
    <t>2023-12-27 14:42:02</t>
  </si>
  <si>
    <t>LXJ1010wYgtzgM5</t>
  </si>
  <si>
    <t>2023-12-27 11:31:07</t>
  </si>
  <si>
    <t>798494502</t>
  </si>
  <si>
    <t>P117671269</t>
  </si>
  <si>
    <t>ALI230224001BGB</t>
  </si>
  <si>
    <t>法式深V低胸大露背U型美背无痕内衣小胸聚拢防下垂软钢圈性感文胸</t>
  </si>
  <si>
    <t>209</t>
  </si>
  <si>
    <t>194</t>
  </si>
  <si>
    <t>31.35 MXN</t>
  </si>
  <si>
    <t>18.61</t>
  </si>
  <si>
    <t>18.607</t>
  </si>
  <si>
    <t>25.55</t>
  </si>
  <si>
    <t>62</t>
  </si>
  <si>
    <t>MKT_ALI [朱莉]</t>
  </si>
  <si>
    <t>kishaazul13@gmail.com</t>
  </si>
  <si>
    <t>2023-12-27 18:57:04</t>
  </si>
  <si>
    <t>YT2336121272162066</t>
  </si>
  <si>
    <t>2023-03-03 11:49:40</t>
  </si>
  <si>
    <t>299</t>
  </si>
  <si>
    <t>Gibobby Sujetador sexy antiflacidez Sin anillo de Brasier mujer busto Francés profundo V Corte bajo Gibobby</t>
  </si>
  <si>
    <t>927235001044</t>
  </si>
  <si>
    <t>2023-03-01 17:17:34.0</t>
  </si>
  <si>
    <t>OAXACA</t>
  </si>
  <si>
    <t>2023-12-27 12:10:04</t>
  </si>
  <si>
    <t>2023-12-27 16:23:53</t>
  </si>
  <si>
    <t>2023-12-27 13:45:11</t>
  </si>
  <si>
    <t>2023-12-27 14:02:05</t>
  </si>
  <si>
    <t>LXJ1120bfW0H7ykI</t>
  </si>
  <si>
    <t>2023-12-27 12:14:11</t>
  </si>
  <si>
    <t>798495450</t>
  </si>
  <si>
    <t>P117672100</t>
  </si>
  <si>
    <t>ZZS210802742BUM</t>
  </si>
  <si>
    <t>男士秋冬休闲运动圆点拉链口袋连帽卫衣  蓝色 M</t>
  </si>
  <si>
    <t>383</t>
  </si>
  <si>
    <t>368</t>
  </si>
  <si>
    <t>57.45 MXN</t>
  </si>
  <si>
    <t>45.56</t>
  </si>
  <si>
    <t>308</t>
  </si>
  <si>
    <t>chicosero@gmail.com</t>
  </si>
  <si>
    <t>2023-12-27 18:57:21</t>
  </si>
  <si>
    <t>YT2336121272162067</t>
  </si>
  <si>
    <t>2021-08-03 18:22:56</t>
  </si>
  <si>
    <t>876</t>
  </si>
  <si>
    <t>Gibobby Sudaderas hombre Sudadera de forro polar con capucha para hombre(Azul,M) Gibobby</t>
  </si>
  <si>
    <t>308.0g/0.0m3</t>
  </si>
  <si>
    <t>927235100370</t>
  </si>
  <si>
    <t>2021-08-02 16:12:32.0</t>
  </si>
  <si>
    <t>2023-12-27 13:10:05</t>
  </si>
  <si>
    <t>2023-12-27 16:33:33</t>
  </si>
  <si>
    <t>LXJ1025akBUmfNp</t>
  </si>
  <si>
    <t>2023-12-28 10:08:46</t>
  </si>
  <si>
    <t>798520619</t>
  </si>
  <si>
    <t>P117685824</t>
  </si>
  <si>
    <t>LNP220914003GYS</t>
  </si>
  <si>
    <t>MX024男士时尚大码翻领上衣纯色V领纽扣修身针织衫外套 灰色 S</t>
  </si>
  <si>
    <t>515</t>
  </si>
  <si>
    <t>77.25 MXN</t>
  </si>
  <si>
    <t>51.62</t>
  </si>
  <si>
    <t>372</t>
  </si>
  <si>
    <t>diana.gpe16@gmail.com</t>
  </si>
  <si>
    <t>2023-12-28 16:42:22</t>
  </si>
  <si>
    <t>YT2336221272125613</t>
  </si>
  <si>
    <t>2022-09-15 12:04:29</t>
  </si>
  <si>
    <t>469</t>
  </si>
  <si>
    <t>Gibobby Suéter cárdigan para hombre Suéter de punto con cuello de chal para hombre, con botones, de Gibobby</t>
  </si>
  <si>
    <t>382.0g/0.0m3</t>
  </si>
  <si>
    <t>562232500921</t>
  </si>
  <si>
    <t>2022-09-14 18:15:08.0</t>
  </si>
  <si>
    <t>2023-12-28 11:10:04</t>
  </si>
  <si>
    <t>2023-12-28 16:06:38</t>
  </si>
  <si>
    <t>2023-12-28 11:26:30</t>
  </si>
  <si>
    <t>2023-12-28 11:42:01</t>
  </si>
  <si>
    <t>LXJ1027q0AcJV8A</t>
  </si>
  <si>
    <t>2023-12-28 13:21:42</t>
  </si>
  <si>
    <t>798523312</t>
  </si>
  <si>
    <t>P117689270</t>
  </si>
  <si>
    <t>MJJ221123003BKM</t>
  </si>
  <si>
    <t>男士秋冬长袖外套棉服夹克 黑色 M</t>
  </si>
  <si>
    <t>1193</t>
  </si>
  <si>
    <t>1178</t>
  </si>
  <si>
    <t>178.95 MXN</t>
  </si>
  <si>
    <t>105.0</t>
  </si>
  <si>
    <t>133.28</t>
  </si>
  <si>
    <t>&lt;[自动(12-30)：此SKU已发货，物流单号：78758195739633]&gt;</t>
  </si>
  <si>
    <t>1228</t>
  </si>
  <si>
    <t>1100</t>
  </si>
  <si>
    <t>serrato.mondragon.dante@gmail.com</t>
  </si>
  <si>
    <t>2023-12-31 10:14:56</t>
  </si>
  <si>
    <t>YT2336221272166077</t>
  </si>
  <si>
    <t>2022-11-25 18:27:05</t>
  </si>
  <si>
    <t>Gibobby Chamarra de hombre chamarra acolchada para hombre, chamarra acolchado plegable, resistente a Gibobby</t>
  </si>
  <si>
    <t>1228.0g/0.0m3</t>
  </si>
  <si>
    <t>928235102685</t>
  </si>
  <si>
    <t>2022-11-24 14:53:43.0</t>
  </si>
  <si>
    <t>2023-12-28 14:10:04</t>
  </si>
  <si>
    <t>2023-12-31 09:10:32</t>
  </si>
  <si>
    <t>2023-12-28 14:14:57</t>
  </si>
  <si>
    <t>2023-12-31 07:43:28</t>
  </si>
  <si>
    <t>LXJ1030IiyubYxI</t>
  </si>
  <si>
    <t>2023-12-29 02:17:38</t>
  </si>
  <si>
    <t>798536529</t>
  </si>
  <si>
    <t>P117692532</t>
  </si>
  <si>
    <t>YYD230718017YEM</t>
  </si>
  <si>
    <t>女式休闲渐变印花圆领运动衫长袖上衣可爱套头衫卫衣 黄色 M</t>
  </si>
  <si>
    <t>59.1 MXN</t>
  </si>
  <si>
    <t>33.205</t>
  </si>
  <si>
    <t>bennyweiss@hotmail.com</t>
  </si>
  <si>
    <t>2024-01-02 17:10:08</t>
  </si>
  <si>
    <t>YT2336321272035293</t>
  </si>
  <si>
    <t>2023-07-20 18:35:41</t>
  </si>
  <si>
    <t>Gibobby Sudadera mujer Sudadera de Forro Polar para Mujer(Amarillo,M) Gibobby</t>
  </si>
  <si>
    <t>530.0g/0.0m3</t>
  </si>
  <si>
    <t>562234100734</t>
  </si>
  <si>
    <t>2023-07-19 21:58:27.0</t>
  </si>
  <si>
    <t>2023-12-29 03:10:04</t>
  </si>
  <si>
    <t>2024-01-02 15:29:27</t>
  </si>
  <si>
    <t>2023-12-29 08:39:30</t>
  </si>
  <si>
    <t>2024-01-02 11:10:02</t>
  </si>
  <si>
    <t>LXJ1016GbdetCkQ</t>
  </si>
  <si>
    <t>YYD230718017PKM</t>
  </si>
  <si>
    <t>女式休闲渐变印花圆领运动衫长袖上衣可爱套头衫卫衣 粉色 M</t>
  </si>
  <si>
    <t>Gibobby Sudadera oversize mujer Sudadera de Forro Polar con Cuello Redondo Sudadera para Mujer(Rosa, Gibobby</t>
  </si>
  <si>
    <t>LXJ1016GbdetAD6</t>
  </si>
  <si>
    <t>2023-12-29 11:01:41</t>
  </si>
  <si>
    <t>798547308</t>
  </si>
  <si>
    <t>P117702641</t>
  </si>
  <si>
    <t>CLM201127285BKXL</t>
  </si>
  <si>
    <t>女士冬季连帽外套 黑色 XL</t>
  </si>
  <si>
    <t>1672</t>
  </si>
  <si>
    <t>404</t>
  </si>
  <si>
    <t>10</t>
  </si>
  <si>
    <t>83.6 MXN</t>
  </si>
  <si>
    <t>31.5</t>
  </si>
  <si>
    <t>38.384</t>
  </si>
  <si>
    <t>chino_1528@outlook.com</t>
  </si>
  <si>
    <t>2020-12-04 18:50:38</t>
  </si>
  <si>
    <t>系统备份</t>
  </si>
  <si>
    <t>0.9</t>
  </si>
  <si>
    <t>Gibobby Abrigo de Lana de Peluche para Mujer, Chamarra Sherpa de invierno para mujer, de gran tamaño Gibobby</t>
  </si>
  <si>
    <t>929234902852</t>
  </si>
  <si>
    <t>2020-12-04 15:23:43.0</t>
  </si>
  <si>
    <t>2023-12-29 11:10:04</t>
  </si>
  <si>
    <t>2023-12-29 13:48:56</t>
  </si>
  <si>
    <t>LXJ10118cXK1jhe</t>
  </si>
  <si>
    <t>AYT230707019PKXL</t>
  </si>
  <si>
    <t>女士休闲时尚修身提花拼接气质通勤加厚呢料外套 粉色 XL</t>
  </si>
  <si>
    <t>56.2</t>
  </si>
  <si>
    <t>69.09</t>
  </si>
  <si>
    <t>720</t>
  </si>
  <si>
    <t>MKT_AYT [卢奕潼]</t>
  </si>
  <si>
    <t>2023-07-19 14:26:34</t>
  </si>
  <si>
    <t>Gibobby Blazer para mujer Chaqueta De Mujer Casual Blazer Un Botón Encogimiento De Hombros Traje De Gibobby</t>
  </si>
  <si>
    <t>2023-07-19 09:32:22.0</t>
  </si>
  <si>
    <t>LXJ1024Lm5B8BSq</t>
  </si>
  <si>
    <t>SFW220702002ORS</t>
  </si>
  <si>
    <t>女士印花长袖翻领西装外套 橙色 S</t>
  </si>
  <si>
    <t>491</t>
  </si>
  <si>
    <t>32.626</t>
  </si>
  <si>
    <t>Gibobby Blazer de mujer casual Mujeres Chaqueta De Traje De Blazer Delgada para El Trabajo Diario Co Gibobby</t>
  </si>
  <si>
    <t>2022-07-02 16:13:20.0</t>
  </si>
  <si>
    <t>LXJ1209aQVrqDo21</t>
  </si>
  <si>
    <t>798549958</t>
  </si>
  <si>
    <t>P117702641_CP_071</t>
  </si>
  <si>
    <t>919.75</t>
  </si>
  <si>
    <t>62.27 MXN</t>
  </si>
  <si>
    <t>44.362162162162164</t>
  </si>
  <si>
    <t xml:space="preserve"> 拆分订单</t>
  </si>
  <si>
    <t>2024-01-06 11:30:07</t>
  </si>
  <si>
    <t>YT2336321272163143</t>
  </si>
  <si>
    <t>1127</t>
  </si>
  <si>
    <t>710.0g/0.0m3</t>
  </si>
  <si>
    <t>2024-01-06 10:30:57</t>
  </si>
  <si>
    <t>2024-01-05 15:10:02</t>
  </si>
  <si>
    <t>75.68 MXN</t>
  </si>
  <si>
    <t>37.707837837837836</t>
  </si>
  <si>
    <t>798549959</t>
  </si>
  <si>
    <t>P117702641_CP_1212</t>
  </si>
  <si>
    <t>752.25</t>
  </si>
  <si>
    <t>112.82 MXN</t>
  </si>
  <si>
    <t>77.2</t>
  </si>
  <si>
    <t xml:space="preserve"> 拆分订单, 原订单编号:798549958</t>
  </si>
  <si>
    <t>2023-12-30 00:15:26</t>
  </si>
  <si>
    <t>798560408</t>
  </si>
  <si>
    <t>P117706564</t>
  </si>
  <si>
    <t>DMJ231012004BKC</t>
  </si>
  <si>
    <t>女士怀孕期舒适无钢圈痕产前开扣哺母乳文胸罩围蕾丝边防后走光文胸内衣 黑色 C</t>
  </si>
  <si>
    <t>257</t>
  </si>
  <si>
    <t>38.55 MXN</t>
  </si>
  <si>
    <t>37.03</t>
  </si>
  <si>
    <t>132</t>
  </si>
  <si>
    <t>monacake24@gmail.com</t>
  </si>
  <si>
    <t>2023-12-30 15:03:53</t>
  </si>
  <si>
    <t>YT2336421272035147</t>
  </si>
  <si>
    <t>132.0g/0.0m3</t>
  </si>
  <si>
    <t>924235301219</t>
  </si>
  <si>
    <t>2023-12-30 01:10:04</t>
  </si>
  <si>
    <t>2023-12-30 11:58:38</t>
  </si>
  <si>
    <t>2023-12-30 08:38:05</t>
  </si>
  <si>
    <t>2023-12-30 08:42:11</t>
  </si>
  <si>
    <t>LXJ1109abEmLUhmy</t>
  </si>
  <si>
    <t>2023-12-30 10:43:13</t>
  </si>
  <si>
    <t>Women's Casual Jackets 女士休闲夹克2</t>
  </si>
  <si>
    <t>798574007</t>
  </si>
  <si>
    <t>P117717552</t>
  </si>
  <si>
    <t>SFW70918312PKXL</t>
  </si>
  <si>
    <t>865# 女士连帽卫衣绒衫 粉色XL</t>
  </si>
  <si>
    <t>1067</t>
  </si>
  <si>
    <t>53.35 MXN</t>
  </si>
  <si>
    <t>24.89</t>
  </si>
  <si>
    <t>24.888</t>
  </si>
  <si>
    <t>30.849965317919075</t>
  </si>
  <si>
    <t>870</t>
  </si>
  <si>
    <t>hernandezandrea0107@gmail.com</t>
  </si>
  <si>
    <t>2023-12-31 16:25:38</t>
  </si>
  <si>
    <t>YT2336421272136828</t>
  </si>
  <si>
    <t>2017-09-20 08:18:36</t>
  </si>
  <si>
    <t>2293</t>
  </si>
  <si>
    <t>Gibobby Abrigo de Lana de Peluche para Mujer, Chamarra con capucha para mujer, forro polar mullido, Gibobby</t>
  </si>
  <si>
    <t>870.0g/0.0m3</t>
  </si>
  <si>
    <t>930234901097</t>
  </si>
  <si>
    <t>2017-09-18 21:18:03.0</t>
  </si>
  <si>
    <t>2023-12-30 11:10:04</t>
  </si>
  <si>
    <t>2023-12-31 14:34:05</t>
  </si>
  <si>
    <t>2023-12-30 14:49:01</t>
  </si>
  <si>
    <t>2023-12-30 15:10:01</t>
  </si>
  <si>
    <t>LXJ1011hrVYmS2d</t>
  </si>
  <si>
    <t>SFW70918312BKXL</t>
  </si>
  <si>
    <t>865# 女士连帽卫衣绒衫 黑色XL</t>
  </si>
  <si>
    <t>24.87</t>
  </si>
  <si>
    <t>24.867</t>
  </si>
  <si>
    <t>28.186658959537574</t>
  </si>
  <si>
    <t>MKT_AFL [冯玲玲]</t>
  </si>
  <si>
    <t>Gibobby Abrigo de Lana de Peluche para Mujer, Abrigo Acolchado de Lana de Cordero en Contraste, Chaq Gibobby</t>
  </si>
  <si>
    <t>2017-09-18 20:38:19.0</t>
  </si>
  <si>
    <t>LXJ1011hrVYmiR9</t>
  </si>
  <si>
    <t>CQY210811581PK120</t>
  </si>
  <si>
    <t xml:space="preserve">(6M-4Y) 儿童长袖秋冬保暖棉服防风外套拉链连帽外套 粉色 120 </t>
  </si>
  <si>
    <t>20.5</t>
  </si>
  <si>
    <t>36.95337572254335</t>
  </si>
  <si>
    <t>MKT_CQY [陈秋云]</t>
  </si>
  <si>
    <t>AD_WDH [伍冬花]</t>
  </si>
  <si>
    <t>2021-08-13 18:12:34</t>
  </si>
  <si>
    <t>PM_LJF [骆锦锋]</t>
  </si>
  <si>
    <t>Gibobby Abrigos de invierno para bebés y niñasAbrigo cálido para niños al libre a de viento para bebés, chaqueta para niños pequeños con capucha, abrigo (Rosa, 3-4 Años)</t>
  </si>
  <si>
    <t>2021-08-11 18:19:00.0</t>
  </si>
  <si>
    <t>LXJ1218VD4QpSXX</t>
  </si>
  <si>
    <t>2023-12-30 19:35:11</t>
  </si>
  <si>
    <t>798580571</t>
  </si>
  <si>
    <t>P117720948</t>
  </si>
  <si>
    <t>MGG220822002DBS</t>
  </si>
  <si>
    <t>情趣内衣性感织带拼接钢圈露背连体衣 深蓝色  S</t>
  </si>
  <si>
    <t>319</t>
  </si>
  <si>
    <t>50.1 MXN</t>
  </si>
  <si>
    <t>33.9</t>
  </si>
  <si>
    <t>31.45</t>
  </si>
  <si>
    <t>cassaneo@hotmail.com</t>
  </si>
  <si>
    <t>2023-12-31 09:55:41</t>
  </si>
  <si>
    <t>zouchuyan [邹褚颜]</t>
  </si>
  <si>
    <t>YT2336521272000440</t>
  </si>
  <si>
    <t>2022-08-24 18:06:27</t>
  </si>
  <si>
    <t>207</t>
  </si>
  <si>
    <t>Gibobby Lencería sexy Mujeres Sexy Cinta Anillo de Sin espalda Body Lencería(Azul oscuro, CH) Gibobby</t>
  </si>
  <si>
    <t>564232901994</t>
  </si>
  <si>
    <t>2022-08-22 16:48:40.0</t>
  </si>
  <si>
    <t>2023-12-30 20:10:03</t>
  </si>
  <si>
    <t>2023-12-31 09:44:18</t>
  </si>
  <si>
    <t>2023-12-31 00:03:18</t>
  </si>
  <si>
    <t>2023-12-31 00:22:01</t>
  </si>
  <si>
    <t>LXJ1129a7hfqhFS2</t>
  </si>
  <si>
    <t>2023-12-31 14:57:43</t>
  </si>
  <si>
    <t>798601435</t>
  </si>
  <si>
    <t>P117734344</t>
  </si>
  <si>
    <t>AZS230905010BKXL</t>
  </si>
  <si>
    <t>女士冬季立领盘扣针织翻领无袖棉服背心外穿马夹 黑色 XL</t>
  </si>
  <si>
    <t>565</t>
  </si>
  <si>
    <t>87 MXN</t>
  </si>
  <si>
    <t>48.955</t>
  </si>
  <si>
    <t>481.8</t>
  </si>
  <si>
    <t>MKT_AZS [赵舒]</t>
  </si>
  <si>
    <t>yarihermayo@gmail.com</t>
  </si>
  <si>
    <t>LJ003136515CN</t>
  </si>
  <si>
    <t>2023-09-07 18:31:58</t>
  </si>
  <si>
    <t>Gibobby Chalecos de mujer de vestir, Chaleco hinchable ligero para mujer(Negro,XG) Gibobby</t>
  </si>
  <si>
    <t>565232801721</t>
  </si>
  <si>
    <t>2023-09-07 15:45:03.0</t>
  </si>
  <si>
    <t>2023-12-31 15:10:05</t>
  </si>
  <si>
    <t>2024-01-01 09:01:05</t>
  </si>
  <si>
    <t>LXJ1010OToJyDVW</t>
  </si>
  <si>
    <t>AZS230905010KHXL</t>
  </si>
  <si>
    <t>女士冬季立领盘扣针织翻领无袖棉服背心外穿马夹 卡其色 XL</t>
  </si>
  <si>
    <t>Gibobby Chaleco dama, Chaleco acolchado para mujer, con cierre, cuello alto, sin mangas, con bolsill Gibobby</t>
  </si>
  <si>
    <t>LXJ1010OToJyaWY</t>
  </si>
  <si>
    <t>2024-01-01 04:26:08</t>
  </si>
  <si>
    <t>798613996</t>
  </si>
  <si>
    <t>P117738195</t>
  </si>
  <si>
    <t>47.1 MXN</t>
  </si>
  <si>
    <t>46.38</t>
  </si>
  <si>
    <t>thesorrow198828@gmail.com</t>
  </si>
  <si>
    <t>2024-01-02 14:04:48</t>
  </si>
  <si>
    <t>YT2400121272032977</t>
  </si>
  <si>
    <t>Gibobby Suéter de invierno para mujer, Suéter Trenzado de Cuello Redondo para Uso Diario Suéter pulóver para Mujer(Verde,M)</t>
  </si>
  <si>
    <t>318.0g/0.0m3</t>
  </si>
  <si>
    <t>565234300716</t>
  </si>
  <si>
    <t>2024-01-01 06:10:04</t>
  </si>
  <si>
    <t>2024-01-02 13:50:33</t>
  </si>
  <si>
    <t>2024-01-01 09:22:05</t>
  </si>
  <si>
    <t>2024-01-01 06:30:30</t>
  </si>
  <si>
    <t>798615140</t>
  </si>
  <si>
    <t>P117740071</t>
  </si>
  <si>
    <t>ALI221223017PPL</t>
  </si>
  <si>
    <t>卫衣 2022秋冬百搭无帽印花图案wish 亚马逊 ebay 速卖通 紫色 L</t>
  </si>
  <si>
    <t>294</t>
  </si>
  <si>
    <t>46.35 MXN</t>
  </si>
  <si>
    <t>16.5</t>
  </si>
  <si>
    <t>55.89</t>
  </si>
  <si>
    <t>&lt;[高树佳(01-03)：此SKU 01-03 下单]&gt;</t>
  </si>
  <si>
    <t>2024-01-04 18:30:57</t>
  </si>
  <si>
    <t>YT2400121272087085</t>
  </si>
  <si>
    <t>2023-01-03 12:04:18</t>
  </si>
  <si>
    <t>366</t>
  </si>
  <si>
    <t>Gibobby Sudadera mujer, Sudadera con capucha para mujer, ajuste holgado, de felpa, casual, manga lar Gibobby</t>
  </si>
  <si>
    <t>434.0g/0.0m3</t>
  </si>
  <si>
    <t>565234301850</t>
  </si>
  <si>
    <t>2022-12-29 19:19:32.0</t>
  </si>
  <si>
    <t>2024-01-01 07:10:03</t>
  </si>
  <si>
    <t>2024-01-04 17:28:11</t>
  </si>
  <si>
    <t>2024-01-01 09:01:36</t>
  </si>
  <si>
    <t>2024-01-04 17:23:10</t>
  </si>
  <si>
    <t>LXJ1012Fz0veNK5</t>
  </si>
  <si>
    <t>2024-01-01 10:56:21</t>
  </si>
  <si>
    <t>Women's Cardigan 女士开衫3</t>
  </si>
  <si>
    <t>798618611</t>
  </si>
  <si>
    <t>P117743355</t>
  </si>
  <si>
    <t>LXT211009135NYXL</t>
  </si>
  <si>
    <t>纯色连帽单排扣中长款棉服马甲修身气质开衫外套上衣 藏青色 XL</t>
  </si>
  <si>
    <t>1234</t>
  </si>
  <si>
    <t>745</t>
  </si>
  <si>
    <t>92.55 MXN</t>
  </si>
  <si>
    <t>70.0</t>
  </si>
  <si>
    <t>62.240647773279356</t>
  </si>
  <si>
    <t>1008</t>
  </si>
  <si>
    <t>MKT_WCB [吴春波]</t>
  </si>
  <si>
    <t>valderrabanogladys@hotmail.com</t>
  </si>
  <si>
    <t>2024-01-02 19:47:39</t>
  </si>
  <si>
    <t>AD_CMS [崔铭珊]</t>
  </si>
  <si>
    <t>YT2400121272087087</t>
  </si>
  <si>
    <t>2021-10-11 18:34:56</t>
  </si>
  <si>
    <t>813</t>
  </si>
  <si>
    <t>Gibobby Chaleco largo acolchado para mujer, Chaleco largo para mujer, acolchado de invierno, con cap Gibobby</t>
  </si>
  <si>
    <t>1008.0g/0.0m3</t>
  </si>
  <si>
    <t>564232702237</t>
  </si>
  <si>
    <t>2021-10-09 12:56:55.0</t>
  </si>
  <si>
    <t>2024-01-01 11:10:04</t>
  </si>
  <si>
    <t>2024-01-02 14:27:00</t>
  </si>
  <si>
    <t>2024-01-01 19:07:59</t>
  </si>
  <si>
    <t>2024-01-01 19:22:02</t>
  </si>
  <si>
    <t>LXJ10105xYori9w</t>
  </si>
  <si>
    <t>FZW221027001GNM</t>
  </si>
  <si>
    <t>秋冬大码女装棉马甲中长款外套 绿色 M/2</t>
  </si>
  <si>
    <t>35.15</t>
  </si>
  <si>
    <t>50.79935222672065</t>
  </si>
  <si>
    <t>2022-10-27 12:12:34</t>
  </si>
  <si>
    <t>Gibobby Chaleco largo acolchado para mujer, Chaleco largo hinchado para mujer, de algodón, sin manga Gibobby</t>
  </si>
  <si>
    <t>2022-10-27 10:29:57.0</t>
  </si>
  <si>
    <t>LXJ1010napwRkFf</t>
  </si>
  <si>
    <t>2024-01-01 12:44:40</t>
  </si>
  <si>
    <t>798619960</t>
  </si>
  <si>
    <t>P117743704</t>
  </si>
  <si>
    <t>CMG220806017GYM</t>
  </si>
  <si>
    <t>男士秋冬纯色无帽拉链保暖开衫针织外套 灰色 M</t>
  </si>
  <si>
    <t>704</t>
  </si>
  <si>
    <t>689</t>
  </si>
  <si>
    <t>105.6 MXN</t>
  </si>
  <si>
    <t>77.02</t>
  </si>
  <si>
    <t>ignacio_rangel1196@hotmail.com</t>
  </si>
  <si>
    <t>2024-01-02 14:22:39</t>
  </si>
  <si>
    <t>YT2400121272087062</t>
  </si>
  <si>
    <t>511</t>
  </si>
  <si>
    <t>Gibobby Sueter para hombre con cierre completo Chaqueta de Punto con Cremallera Completa para Hombre Gibobby</t>
  </si>
  <si>
    <t>567244900377</t>
  </si>
  <si>
    <t>2024-01-01 13:10:03</t>
  </si>
  <si>
    <t>2024-01-02 13:35:03</t>
  </si>
  <si>
    <t>2024-01-01 19:22:04</t>
  </si>
  <si>
    <t>LXJ1030FGkjgYUa</t>
  </si>
  <si>
    <t>2024-01-02 06:08:05</t>
  </si>
  <si>
    <t>798637274</t>
  </si>
  <si>
    <t>P117747860</t>
  </si>
  <si>
    <t>WJY211018103GNXL</t>
  </si>
  <si>
    <t>女士棉马甲女式中长款连帽羽绒棉马夹女加肥加大码外套背心(墨绿色) 绿色 XL</t>
  </si>
  <si>
    <t>937</t>
  </si>
  <si>
    <t>922</t>
  </si>
  <si>
    <t>140.55 MXN</t>
  </si>
  <si>
    <t>102.95</t>
  </si>
  <si>
    <t>&lt;[郝祚满(01-08)：此SKU 01-08 下单]&gt;</t>
  </si>
  <si>
    <t>950</t>
  </si>
  <si>
    <t>kukysro@gmail.com</t>
  </si>
  <si>
    <t>YT2400221272037948</t>
  </si>
  <si>
    <t>2021-10-19 18:40:53</t>
  </si>
  <si>
    <t>缺货未发</t>
  </si>
  <si>
    <t>Gibobby Chaleco acolchado para mujer, Chalecos casuales para mujer, chaleco largo y suave de longitu Gibobby</t>
  </si>
  <si>
    <t>201244401985</t>
  </si>
  <si>
    <t>2021-10-18 21:27:12.0</t>
  </si>
  <si>
    <t>2024-01-02 07:10:04</t>
  </si>
  <si>
    <t>2024-01-02 08:33:02</t>
  </si>
  <si>
    <t>LXJ1010bZ5GrUnZ</t>
  </si>
  <si>
    <t>2024-01-03 02:06:28</t>
  </si>
  <si>
    <t>798659428</t>
  </si>
  <si>
    <t>P117755512</t>
  </si>
  <si>
    <t>TXS230410008PK</t>
  </si>
  <si>
    <t>女士性感火辣蕾丝网纱透视薄纱睡裙诱惑连体睡衣 粉色</t>
  </si>
  <si>
    <t>203</t>
  </si>
  <si>
    <t>188</t>
  </si>
  <si>
    <t>30.45 MXN</t>
  </si>
  <si>
    <t>25.08</t>
  </si>
  <si>
    <t>&lt;[欧阳慧瑶(01-05)：此SKU 01-05 下单]&gt;</t>
  </si>
  <si>
    <t>44</t>
  </si>
  <si>
    <t>chomes_3010@hotmail.com</t>
  </si>
  <si>
    <t>YT2400321272032005</t>
  </si>
  <si>
    <t>2023-04-12 18:02:44</t>
  </si>
  <si>
    <t>Gibobby Lencería sexy de mujer tanga Día de San Valentín Mujeres Encaje Sexy Passion Lencería Backless Halter G String Dress(Rosa, Talla única)</t>
  </si>
  <si>
    <t>568246402560</t>
  </si>
  <si>
    <t>2023-04-12 14:36:15.0</t>
  </si>
  <si>
    <t>2024-01-03 03:10:04</t>
  </si>
  <si>
    <t>2024-01-03 08:30:16</t>
  </si>
  <si>
    <t>LXJ1129ax1AVIIAN</t>
  </si>
  <si>
    <t>2024-01-03 07:46:50</t>
  </si>
  <si>
    <t>798667135</t>
  </si>
  <si>
    <t>P117762142</t>
  </si>
  <si>
    <t>WUY230404015WHL</t>
  </si>
  <si>
    <t>女士性感蕾丝内裤中腰纯棉内档镂空透气舒适三角裤内裤 白色 L</t>
  </si>
  <si>
    <t>189</t>
  </si>
  <si>
    <t>30.6 MXN</t>
  </si>
  <si>
    <t>5.89</t>
  </si>
  <si>
    <t>22.35</t>
  </si>
  <si>
    <t>&lt;[自动(01-04)：此SKU已发货，物流单号：YT7438515096609]&gt;</t>
  </si>
  <si>
    <t>bdo7601@gmail.com</t>
  </si>
  <si>
    <t>2024-01-05 20:10:23</t>
  </si>
  <si>
    <t>YT2400321272032004</t>
  </si>
  <si>
    <t>2023-04-06 18:01:19</t>
  </si>
  <si>
    <t>Gibobby Tangas de mujer sexy Bragas de mujer, Tanga, conjunto de colores, lencería opcional, bragas Gibobby</t>
  </si>
  <si>
    <t>22.0g/0.0m3</t>
  </si>
  <si>
    <t>202244700513</t>
  </si>
  <si>
    <t>2023-04-06 17:10:51.0</t>
  </si>
  <si>
    <t>2024-01-03 08:10:04</t>
  </si>
  <si>
    <t>2024-01-05 18:11:54</t>
  </si>
  <si>
    <t>2024-01-05 14:30:11</t>
  </si>
  <si>
    <t>LXJ1208awx1E9kvp</t>
  </si>
  <si>
    <t>2024-01-03 22:47:53</t>
  </si>
  <si>
    <t>798682944</t>
  </si>
  <si>
    <t>P117770121</t>
  </si>
  <si>
    <t>AWL230812003BKM</t>
  </si>
  <si>
    <t>女士马甲棉袄坎肩宽松棉衣 黑色 M</t>
  </si>
  <si>
    <t>785</t>
  </si>
  <si>
    <t>770</t>
  </si>
  <si>
    <t>117.75 MXN</t>
  </si>
  <si>
    <t>90.77</t>
  </si>
  <si>
    <t>&lt;[钱飞金(01-05)：此SKU供应商漏发，采购正在核实]&gt;</t>
  </si>
  <si>
    <t>lore.mth@hotmail.com</t>
  </si>
  <si>
    <t>YT2400421272034903</t>
  </si>
  <si>
    <t>Gibobby Chalecos de mujer, Chaleco ligero y cálido para mujer, para correr, invierno, híbrido, sin m Gibobby</t>
  </si>
  <si>
    <t>569245600050</t>
  </si>
  <si>
    <t>2024-01-03 23:10:05</t>
  </si>
  <si>
    <t>2024-01-04 08:44:32</t>
  </si>
  <si>
    <t>LXJ1010QAveJs1y</t>
  </si>
  <si>
    <t>2024-01-04 01:54:15</t>
  </si>
  <si>
    <t>798687583</t>
  </si>
  <si>
    <t>P117772105</t>
  </si>
  <si>
    <t>SFW211011312BUXL</t>
  </si>
  <si>
    <t>女士拼接连帽拉链口袋毛绒卫衣外套 蓝色 XL</t>
  </si>
  <si>
    <t>74.7 MXN</t>
  </si>
  <si>
    <t>51.19</t>
  </si>
  <si>
    <t>josefina_espejel@hotmail.es</t>
  </si>
  <si>
    <t>Gibobby Abrigo de Lana de Peluche para Mujer, Abrigo de Invierno a la Moda para Mujer, Chaqueta de M Gibobby</t>
  </si>
  <si>
    <t>203244002745</t>
  </si>
  <si>
    <t>2021-10-11 22:19:11.0</t>
  </si>
  <si>
    <t>GUERRERO</t>
  </si>
  <si>
    <t>2024-01-04 02:10:03</t>
  </si>
  <si>
    <t>LXJ1011K7vMUglf</t>
  </si>
  <si>
    <t>2024-01-04 10:12:40</t>
  </si>
  <si>
    <t>798701189</t>
  </si>
  <si>
    <t>P117782855</t>
  </si>
  <si>
    <t>HKX210810027BKL</t>
  </si>
  <si>
    <t xml:space="preserve">女士休闲印花长袖连帽卫衣 黑色 L </t>
  </si>
  <si>
    <t>365</t>
  </si>
  <si>
    <t>54.75 MXN</t>
  </si>
  <si>
    <t>46.05</t>
  </si>
  <si>
    <t>victorhugo.81@gmail.com</t>
  </si>
  <si>
    <t>2024-01-04 15:35:54</t>
  </si>
  <si>
    <t>YT2400421272118111</t>
  </si>
  <si>
    <t>2021-08-11 18:29:52</t>
  </si>
  <si>
    <t>875</t>
  </si>
  <si>
    <t>Gibobby Sudadera mujer, Cómodo Sudadera Dama Color Negro Jaspe para Mujer,ligeras, con bolsillo(Negr Gibobby</t>
  </si>
  <si>
    <t>204242501023</t>
  </si>
  <si>
    <t>2021-08-10 20:28:46.0</t>
  </si>
  <si>
    <t>2024-01-04 11:10:04</t>
  </si>
  <si>
    <t>2024-01-04 14:35:38</t>
  </si>
  <si>
    <t>2024-01-04 11:21:43</t>
  </si>
  <si>
    <t>2024-01-04 11:42:02</t>
  </si>
  <si>
    <t>LXJ1012dA8Eydkv</t>
  </si>
  <si>
    <t>2024-01-05 03:37:50</t>
  </si>
  <si>
    <t>798722040</t>
  </si>
  <si>
    <t>P117790769</t>
  </si>
  <si>
    <t>27.45 MXN</t>
  </si>
  <si>
    <t>10.01</t>
  </si>
  <si>
    <t>10.014</t>
  </si>
  <si>
    <t>26.53</t>
  </si>
  <si>
    <t>lcpfernandomares@gmail.com</t>
  </si>
  <si>
    <t>2024-01-05 11:20:16</t>
  </si>
  <si>
    <t>YT2400521272029232</t>
  </si>
  <si>
    <t>76.0g/0.0m3</t>
  </si>
  <si>
    <t>570246601944</t>
  </si>
  <si>
    <t>2024-01-05 05:10:03</t>
  </si>
  <si>
    <t>2024-01-05 11:14:50</t>
  </si>
  <si>
    <t>2024-01-05 08:36:55</t>
  </si>
  <si>
    <t>2024-01-05 08:42:10</t>
  </si>
  <si>
    <t>2024-01-05 07:02:43</t>
  </si>
  <si>
    <t>798726386</t>
  </si>
  <si>
    <t>P117795440</t>
  </si>
  <si>
    <t>YHP230421001BKS</t>
  </si>
  <si>
    <t>女士情趣内衣提臀丁字裤弹力内裤 黑色 S</t>
  </si>
  <si>
    <t>149</t>
  </si>
  <si>
    <t>24.6 MXN</t>
  </si>
  <si>
    <t>22.6</t>
  </si>
  <si>
    <t>28</t>
  </si>
  <si>
    <t>29.6</t>
  </si>
  <si>
    <t>ivettcoronapacheco@gmail.com</t>
  </si>
  <si>
    <t>2024-01-05 13:31:53</t>
  </si>
  <si>
    <t>YT2400521272029230</t>
  </si>
  <si>
    <t>28.0g/0.0m3</t>
  </si>
  <si>
    <t>204244600827</t>
  </si>
  <si>
    <t>2024-01-05 08:10:03</t>
  </si>
  <si>
    <t>2024-01-05 12:38:31</t>
  </si>
  <si>
    <t>2024-01-05 08:42:05</t>
  </si>
  <si>
    <t>LXJ1127a2J02HaAh</t>
  </si>
  <si>
    <t>2024-01-05 09:28:38</t>
  </si>
  <si>
    <t>Swim Pants 泳裤</t>
  </si>
  <si>
    <t>798729120</t>
  </si>
  <si>
    <t>P117797812</t>
  </si>
  <si>
    <t>SFW220504006RDL</t>
  </si>
  <si>
    <t>女士印花性感三点式泳裤 红色 L</t>
  </si>
  <si>
    <t>29.25 MXN</t>
  </si>
  <si>
    <t>4.8</t>
  </si>
  <si>
    <t>22.1</t>
  </si>
  <si>
    <t>navarreteluis@yahoo.com</t>
  </si>
  <si>
    <t>2024-01-05 17:00:40</t>
  </si>
  <si>
    <t>YT2400521272082512</t>
  </si>
  <si>
    <t>2022-05-05 18:14:18</t>
  </si>
  <si>
    <t>609</t>
  </si>
  <si>
    <t>Gibobby Bañador de Bikini Mujeres corriendo cintura Bikini Bottoms Swim Briefs Beach Shorts Swim Bik Gibobby</t>
  </si>
  <si>
    <t>205242401489</t>
  </si>
  <si>
    <t>2022-05-04 23:23:10.0</t>
  </si>
  <si>
    <t>2024-01-05 10:10:03</t>
  </si>
  <si>
    <t>2024-01-05 16:37:15</t>
  </si>
  <si>
    <t>2024-01-05 10:19:07</t>
  </si>
  <si>
    <t>2024-01-05 10:22:02</t>
  </si>
  <si>
    <t>LXJ1215a3GI6kwEe</t>
  </si>
  <si>
    <t>2024-01-05 14:48:18</t>
  </si>
  <si>
    <t>798734129</t>
  </si>
  <si>
    <t>P117802665</t>
  </si>
  <si>
    <t>SFW201213312PKM</t>
  </si>
  <si>
    <t>女士蕾丝花边情趣内衣文胸上衣+丁字裤内衣套装 粉色 M</t>
  </si>
  <si>
    <t>665</t>
  </si>
  <si>
    <t>33.25 MXN</t>
  </si>
  <si>
    <t>11.783</t>
  </si>
  <si>
    <t>lasr9510@gmail.com</t>
  </si>
  <si>
    <t>AD_CCL [曹春丽]</t>
  </si>
  <si>
    <t>YT2400521272204494</t>
  </si>
  <si>
    <t>2020-12-14 18:48:55</t>
  </si>
  <si>
    <t>多品缺货</t>
  </si>
  <si>
    <t>Gibobby Conjunto de lencería de encaje Conjunto de lencería de talla grande para mujer con tirantes Gibobby</t>
  </si>
  <si>
    <t>571245300807</t>
  </si>
  <si>
    <t>2020-12-13 20:54:23.0</t>
  </si>
  <si>
    <t>2024-01-05 15:10:03</t>
  </si>
  <si>
    <t>2024-01-05 16:09:14</t>
  </si>
  <si>
    <t>Su0104mtJwKvCt</t>
  </si>
  <si>
    <t>ZMY220527003RDM</t>
  </si>
  <si>
    <t>女士性感蕾丝豹纹透视诱惑三点式情趣内衣三件套 红色 M</t>
  </si>
  <si>
    <t>7.07</t>
  </si>
  <si>
    <t>AD_ZMY [曾明奕]</t>
  </si>
  <si>
    <t>zhongfangnan [钟芳囡]</t>
  </si>
  <si>
    <t>2022-05-30 18:21:53</t>
  </si>
  <si>
    <t>Gibobby Conjunto de lencería Conjunto de ropa interior de puntos de tentación de perspectiva de esta Gibobby</t>
  </si>
  <si>
    <t>2022-05-27 16:03:16.0</t>
  </si>
  <si>
    <t>LXJ1129aXSREq7Ge</t>
  </si>
  <si>
    <t>LKM201214384BUM</t>
  </si>
  <si>
    <t>刺绣蝴蝶结3件套内衣 蓝色 M</t>
  </si>
  <si>
    <t>15.318</t>
  </si>
  <si>
    <t>65</t>
  </si>
  <si>
    <t>MKT_LKM [黎坤敏]</t>
  </si>
  <si>
    <t>2020-12-15 18:44:17</t>
  </si>
  <si>
    <t>Gibobby Ropa interior mujer sexy Conjunto Lencería Tanga Y Bralette con Relleno Stretch Encaje Moda Gibobby</t>
  </si>
  <si>
    <t>2020-12-14 20:34:40.0</t>
  </si>
  <si>
    <t>Su0104n9Tnw7rW</t>
  </si>
  <si>
    <t>2024-01-06 05:04:39</t>
  </si>
  <si>
    <t>798752384</t>
  </si>
  <si>
    <t>P117808441</t>
  </si>
  <si>
    <t>26.7</t>
  </si>
  <si>
    <t>78</t>
  </si>
  <si>
    <t>jenifer.buenrrostro@gmail.com</t>
  </si>
  <si>
    <t>2024-01-06 17:37:13</t>
  </si>
  <si>
    <t>YT2400621272023296</t>
  </si>
  <si>
    <t>78.0g/0.0m3</t>
  </si>
  <si>
    <t>571246702347</t>
  </si>
  <si>
    <t>2024-01-06 06:10:04</t>
  </si>
  <si>
    <t>2024-01-06 15:57:14</t>
  </si>
  <si>
    <t>2024-01-06 08:31:32</t>
  </si>
  <si>
    <t>2024-01-06 08:42:12</t>
  </si>
  <si>
    <t>2024-01-07 04:03:09</t>
  </si>
  <si>
    <t>798780589</t>
  </si>
  <si>
    <t>P117821317</t>
  </si>
  <si>
    <t>SFW70918312BKL</t>
  </si>
  <si>
    <t>865# 女士连帽卫衣绒衫 黑色L</t>
  </si>
  <si>
    <t>310</t>
  </si>
  <si>
    <t>48.75 MXN</t>
  </si>
  <si>
    <t>25.24</t>
  </si>
  <si>
    <t>41.95</t>
  </si>
  <si>
    <t>256</t>
  </si>
  <si>
    <t>max_miquel@hotmail.com</t>
  </si>
  <si>
    <t>2024-01-08 11:15:51</t>
  </si>
  <si>
    <t>YT2400821272044796</t>
  </si>
  <si>
    <t>2017-09-18 20:37:21</t>
  </si>
  <si>
    <t>Gibobby Chamarra de forro mullida para mujer, Chaqueta de Invierno para Mujer, Abrigos de Felpa Extr Gibobby</t>
  </si>
  <si>
    <t>264.0g/0.0m3</t>
  </si>
  <si>
    <t>206244201588</t>
  </si>
  <si>
    <t>2017-09-18 20:37:21.0</t>
  </si>
  <si>
    <t>2024-01-07 06:10:03</t>
  </si>
  <si>
    <t>2024-01-08 10:51:25</t>
  </si>
  <si>
    <t>2024-01-08 09:01:47</t>
  </si>
  <si>
    <t>2024-01-08 09:22:03</t>
  </si>
  <si>
    <t>LXJ1011hrVYmhyY</t>
  </si>
  <si>
    <t>2024-01-07 08:40:53</t>
  </si>
  <si>
    <t>798784660</t>
  </si>
  <si>
    <t>P117826005</t>
  </si>
  <si>
    <t>WZZ80721064M</t>
  </si>
  <si>
    <t>Aj 162 4PC蕾丝花边低腰女士情趣内裤 M</t>
  </si>
  <si>
    <t>202</t>
  </si>
  <si>
    <t>30.3 MXN</t>
  </si>
  <si>
    <t>14.6</t>
  </si>
  <si>
    <t>14.599</t>
  </si>
  <si>
    <t>56</t>
  </si>
  <si>
    <t>[离职人员] [ ]</t>
  </si>
  <si>
    <t>fransiscoalberto754@gmail.com</t>
  </si>
  <si>
    <t>2024-01-08 11:38:32</t>
  </si>
  <si>
    <t>YT2400821272044797</t>
  </si>
  <si>
    <t>2018-07-21 18:08:48</t>
  </si>
  <si>
    <t>1996</t>
  </si>
  <si>
    <t>Gibobby Lencería para mujer sexy tangas Encaje Mujer Tanga Bragas Flores Tangas Lencería 4PC Bajo Se Gibobby</t>
  </si>
  <si>
    <t>56.0g/0.0m3</t>
  </si>
  <si>
    <t>572247001933</t>
  </si>
  <si>
    <t>2018-07-21 18:08:48.0</t>
  </si>
  <si>
    <t>2024-01-07 09:10:03</t>
  </si>
  <si>
    <t>2024-01-08 11:08:31</t>
  </si>
  <si>
    <t>2024-01-08 09:22:12</t>
  </si>
  <si>
    <t>LXJ1127aJdCMU58g</t>
  </si>
  <si>
    <t>2024-01-07 11:29:15</t>
  </si>
  <si>
    <t>798787841</t>
  </si>
  <si>
    <t>P117828940</t>
  </si>
  <si>
    <t>MKX231023006BKXL</t>
  </si>
  <si>
    <t>欧美大码内裤女性感火辣银丝带爱心装饰半包臀 外贸女士低腰内裤 黑色 XL</t>
  </si>
  <si>
    <t>173</t>
  </si>
  <si>
    <t>27.3 MXN</t>
  </si>
  <si>
    <t>10.5</t>
  </si>
  <si>
    <t>10.8</t>
  </si>
  <si>
    <t>karman_sp@hotmail.com</t>
  </si>
  <si>
    <t>YT2400821272044799</t>
  </si>
  <si>
    <t>2023-10-26 18:27:38</t>
  </si>
  <si>
    <t>多仓库-订单缺货</t>
  </si>
  <si>
    <t>Gibobby Tangas de mujer sexy Ropa interior para mujer Sensación de cinta plateada Decoración de cora Gibobby</t>
  </si>
  <si>
    <t>572245200179</t>
  </si>
  <si>
    <t>2023-10-26 15:19:38.0</t>
  </si>
  <si>
    <t>2024-01-07 12:10:04</t>
  </si>
  <si>
    <t>LXJ1208aTqUkf5ca</t>
  </si>
  <si>
    <t>MKX231023006RDXL</t>
  </si>
  <si>
    <t>欧美大码内裤女性感火辣银丝带爱心装饰半包臀 外贸女士低腰内裤 红色 XL</t>
  </si>
  <si>
    <t>14.04</t>
  </si>
  <si>
    <t>52</t>
  </si>
  <si>
    <t>Gibobby Tangas de mujer sexy Ropa interior para mujer Sensación de cinta plateada Decoración de corazón Cadera medio envuelta Ropa interior de cintura para mujer(Rojo,XL)</t>
  </si>
  <si>
    <t>LXJ1208aTqUkfh8y</t>
  </si>
  <si>
    <t>WJY221223015BKL</t>
  </si>
  <si>
    <t>欧美蕾丝大码纯棉裆丁字内裤女生性感 情趣细带诱惑t字裤女士内裤 黑色 L</t>
  </si>
  <si>
    <t>7.5</t>
  </si>
  <si>
    <t>4.32</t>
  </si>
  <si>
    <t>16</t>
  </si>
  <si>
    <t>huangjinzhou [黄金周]</t>
  </si>
  <si>
    <t>2022-12-27 18:16:56</t>
  </si>
  <si>
    <t>Gibobby Bragas Regalo para mujer 1 pieza Bragas de encaje Paquete de Tanga para dama Calzoncillos Pa Gibobby</t>
  </si>
  <si>
    <t>2022-12-27 17:21:10.0</t>
  </si>
  <si>
    <t>LXJ1208aypu0WuLW</t>
  </si>
  <si>
    <t>2024-01-08 02:56:11</t>
  </si>
  <si>
    <t>798804798</t>
  </si>
  <si>
    <t>P117832567</t>
  </si>
  <si>
    <t>LLQ220614006BK</t>
  </si>
  <si>
    <t>女士内裤舒适透气薄款网纱蜜桃低腰无痕女生性感三角裤 黑色</t>
  </si>
  <si>
    <t>21 MXN</t>
  </si>
  <si>
    <t>4.6</t>
  </si>
  <si>
    <t>23.58</t>
  </si>
  <si>
    <t>&lt;[朱晓蝶(01-08)：此SKU 01-08 下单]&gt;</t>
  </si>
  <si>
    <t>MKT_LLQ [梁巧巧]</t>
  </si>
  <si>
    <t>danielvillagrana15@gmail.com</t>
  </si>
  <si>
    <t>YT2400821272044798</t>
  </si>
  <si>
    <t>2022-06-15 18:39:51</t>
  </si>
  <si>
    <t>Gibobby Tangas de sexy mujer Directo de fábrica Ropa interior de damas Bragas de mujer sexy Pantie(N Gibobby</t>
  </si>
  <si>
    <t>207244101404</t>
  </si>
  <si>
    <t>2022-06-14 19:30:57.0</t>
  </si>
  <si>
    <t>2024-01-08 03:10:03</t>
  </si>
  <si>
    <t>LXJ1208aNovL651P</t>
  </si>
  <si>
    <t>2024-01-08 12:04:25</t>
  </si>
  <si>
    <t>798819330</t>
  </si>
  <si>
    <t>P117842249</t>
  </si>
  <si>
    <t>LBB230806009BKXL</t>
  </si>
  <si>
    <t>轻薄棉袄休闲潮流加厚冬装棉服外套 黑色 XL</t>
  </si>
  <si>
    <t>454</t>
  </si>
  <si>
    <t>68.1 MXN</t>
  </si>
  <si>
    <t>51.95</t>
  </si>
  <si>
    <t>386</t>
  </si>
  <si>
    <t>jokerrodriguez706@gmail.com</t>
  </si>
  <si>
    <t>YT2400821272213226</t>
  </si>
  <si>
    <t>2023-08-10 18:29:23</t>
  </si>
  <si>
    <t>Gibobby Chamarra ligera hombre Chaqueta Acolchada Para Hombre Chaqueta Parka De Invierno Impermeable Gibobby</t>
  </si>
  <si>
    <t>208242602050</t>
  </si>
  <si>
    <t>2023-08-09 21:34:38.0</t>
  </si>
  <si>
    <t>2024-01-08 12:10:04</t>
  </si>
  <si>
    <t>2024-01-08 13:42:04</t>
  </si>
  <si>
    <t>LXJ1030L5D80OXN</t>
  </si>
  <si>
    <t>计数（平台订单号）</t>
  </si>
  <si>
    <t>订单号</t>
  </si>
  <si>
    <t>年</t>
  </si>
  <si>
    <t>月</t>
  </si>
  <si>
    <t>日</t>
  </si>
  <si>
    <t>产品分类1</t>
  </si>
  <si>
    <t>出售价格</t>
  </si>
  <si>
    <t>订单利润额</t>
  </si>
  <si>
    <t>WES210828101</t>
  </si>
  <si>
    <t>CMG220806017</t>
  </si>
  <si>
    <t>YQX201105486</t>
  </si>
  <si>
    <t>XTT221026005</t>
  </si>
  <si>
    <t>JQQ220827006</t>
  </si>
  <si>
    <t>ZZS221021014</t>
  </si>
  <si>
    <t>ALR230818011</t>
  </si>
  <si>
    <t>WJY220912029</t>
  </si>
  <si>
    <t>YLL220818007</t>
  </si>
  <si>
    <t>YLL220818008</t>
  </si>
  <si>
    <t>INL221117005</t>
  </si>
  <si>
    <t>YLC210811313</t>
  </si>
  <si>
    <t>WJY220714002</t>
  </si>
  <si>
    <t>SFW71016311D</t>
  </si>
  <si>
    <t>YQX201110482</t>
  </si>
  <si>
    <t>MKX221117018</t>
  </si>
  <si>
    <t>YLL220711004</t>
  </si>
  <si>
    <t>CMG220919011</t>
  </si>
  <si>
    <t>AWL230821007</t>
  </si>
  <si>
    <t>CXS210907925</t>
  </si>
  <si>
    <t>SFW220702006</t>
  </si>
  <si>
    <t>CJN230923001</t>
  </si>
  <si>
    <t>YYD230920001</t>
  </si>
  <si>
    <t>ZFH230817002</t>
  </si>
  <si>
    <t>XTT220919015</t>
  </si>
  <si>
    <t>JUN220905005</t>
  </si>
  <si>
    <t>FZQ230725007</t>
  </si>
  <si>
    <t>YAY91021372B</t>
  </si>
  <si>
    <t>BYL230904004</t>
  </si>
  <si>
    <t>MJJ210824293</t>
  </si>
  <si>
    <t>LLP201015146</t>
  </si>
  <si>
    <t>XTT220919007</t>
  </si>
  <si>
    <t>JUN221012005</t>
  </si>
  <si>
    <t>DMJ231012004</t>
  </si>
  <si>
    <t>HJA200924692</t>
  </si>
  <si>
    <t>ZYT200928494</t>
  </si>
  <si>
    <t>CLM201127285</t>
  </si>
  <si>
    <t>ZTY230908003</t>
  </si>
  <si>
    <t>HKX210821026</t>
  </si>
  <si>
    <t>BYL230830011</t>
  </si>
  <si>
    <t>WJY210818101</t>
  </si>
  <si>
    <t>CCJ210901724</t>
  </si>
  <si>
    <t>ZXQ220629001</t>
  </si>
  <si>
    <t>DMJ231106009</t>
  </si>
  <si>
    <t>AYK230714018</t>
  </si>
  <si>
    <t>SFW210906312</t>
  </si>
  <si>
    <t>CWA210830042</t>
  </si>
  <si>
    <t>CWA210825045</t>
  </si>
  <si>
    <t>PTW210915444</t>
  </si>
  <si>
    <t>LQR230817004</t>
  </si>
  <si>
    <t>LQR230919001</t>
  </si>
  <si>
    <t>FMF221020060</t>
  </si>
  <si>
    <t>ZYT201130482</t>
  </si>
  <si>
    <t>CWA220906002</t>
  </si>
  <si>
    <t>YYD231019014</t>
  </si>
  <si>
    <t>ZTY220913006</t>
  </si>
  <si>
    <t>CMG220806006</t>
  </si>
  <si>
    <t>ZTY221019008</t>
  </si>
  <si>
    <t>WZH210928345</t>
  </si>
  <si>
    <t>SFW230623005</t>
  </si>
  <si>
    <t>JUN220816003</t>
  </si>
  <si>
    <t>SFW221203012</t>
  </si>
  <si>
    <t>CMG220806009</t>
  </si>
  <si>
    <t>TXS230323010</t>
  </si>
  <si>
    <t>CMG211023252</t>
  </si>
  <si>
    <t>CJN211012321</t>
  </si>
  <si>
    <t>FJY230928003</t>
  </si>
  <si>
    <t>MAC81231212B</t>
  </si>
  <si>
    <t>SFW220928007</t>
  </si>
  <si>
    <t>WCH221107002</t>
  </si>
  <si>
    <t>SFW221029014</t>
  </si>
  <si>
    <t>PHF230926007</t>
  </si>
  <si>
    <t>FJY230727012</t>
  </si>
  <si>
    <t>GYZ230719026</t>
  </si>
  <si>
    <t>XMX231027005</t>
  </si>
  <si>
    <t>LSI220113944</t>
  </si>
  <si>
    <t>LXT230105001</t>
  </si>
  <si>
    <t>AWY230801004</t>
  </si>
  <si>
    <t>SFW71016311L</t>
  </si>
  <si>
    <t>FBE230907001</t>
  </si>
  <si>
    <t>INL221101006</t>
  </si>
  <si>
    <t>OWY231107005</t>
  </si>
  <si>
    <t>FZW220926004</t>
  </si>
  <si>
    <t>XXY221207006</t>
  </si>
  <si>
    <t>JUA230605005</t>
  </si>
  <si>
    <t>GYZ230814011</t>
  </si>
  <si>
    <t>LPE220804006</t>
  </si>
  <si>
    <t>WJX230905001</t>
  </si>
  <si>
    <t>LQR230911002</t>
  </si>
  <si>
    <t>CWA210825044</t>
  </si>
  <si>
    <t>TXS230221008</t>
  </si>
  <si>
    <t>WUY220926004</t>
  </si>
  <si>
    <t>WES220107111</t>
  </si>
  <si>
    <t>FZW220928003</t>
  </si>
  <si>
    <t>ZWL231025008</t>
  </si>
  <si>
    <t>AWL230812003</t>
  </si>
  <si>
    <t>AWJ230807009</t>
  </si>
  <si>
    <t>SPX221102013</t>
  </si>
  <si>
    <t>ZFH210803877</t>
  </si>
  <si>
    <t>YYD230729004</t>
  </si>
  <si>
    <t>LQR231010008</t>
  </si>
  <si>
    <t>JMW220914010</t>
  </si>
  <si>
    <t>HCJ230331001</t>
  </si>
  <si>
    <t>LSI211122946</t>
  </si>
  <si>
    <t>ZTY221019006</t>
  </si>
  <si>
    <t>HHQ220825001</t>
  </si>
  <si>
    <t>WMQ230719001</t>
  </si>
  <si>
    <t>FBE230815003</t>
  </si>
  <si>
    <t>FZQ230818020</t>
  </si>
  <si>
    <t>CMG210812254</t>
  </si>
  <si>
    <t>LWH211011205</t>
  </si>
  <si>
    <t>YHP230421001</t>
  </si>
  <si>
    <t>LJL80409142W</t>
  </si>
  <si>
    <t>LSI220419953</t>
  </si>
  <si>
    <t>XTY220727002</t>
  </si>
  <si>
    <t>AWJ231009012</t>
  </si>
  <si>
    <t>ZCZ231012018</t>
  </si>
  <si>
    <t>LZI220111904</t>
  </si>
  <si>
    <t>YLL220713004</t>
  </si>
  <si>
    <t>FXP220906006</t>
  </si>
  <si>
    <t>ZXQ220728001</t>
  </si>
  <si>
    <t>CJQ230711004</t>
  </si>
  <si>
    <t>JUN221116010</t>
  </si>
  <si>
    <t>HYM231102003</t>
  </si>
  <si>
    <t>ASY230817003</t>
  </si>
  <si>
    <t>LHL201215883</t>
  </si>
  <si>
    <t>YHP230412013</t>
  </si>
  <si>
    <t>LJL80409142R</t>
  </si>
  <si>
    <t>ALI230224001</t>
  </si>
  <si>
    <t>ZZS210802742</t>
  </si>
  <si>
    <t>LNP220914003</t>
  </si>
  <si>
    <t>MJJ221123003</t>
  </si>
  <si>
    <t>YYD230718017</t>
  </si>
  <si>
    <t>AYT230707019</t>
  </si>
  <si>
    <t>SFW220702002</t>
  </si>
  <si>
    <t>SFW70918312P</t>
  </si>
  <si>
    <t>SFW70918312B</t>
  </si>
  <si>
    <t>CQY210811581</t>
  </si>
  <si>
    <t>MGG220822002</t>
  </si>
  <si>
    <t>AZS230905010</t>
  </si>
  <si>
    <t>ALI221223017</t>
  </si>
  <si>
    <t>LXT211009135</t>
  </si>
  <si>
    <t>FZW221027001</t>
  </si>
  <si>
    <t>WJY211018103</t>
  </si>
  <si>
    <t>TXS230410008</t>
  </si>
  <si>
    <t>WUY230404015</t>
  </si>
  <si>
    <t>SFW211011312</t>
  </si>
  <si>
    <t>HKX210810027</t>
  </si>
  <si>
    <t>SFW220504006</t>
  </si>
  <si>
    <t>SFW201213312</t>
  </si>
  <si>
    <t>ZMY220527003</t>
  </si>
  <si>
    <t>LKM201214384</t>
  </si>
  <si>
    <t>MKX231023006</t>
  </si>
  <si>
    <t>WJY221223015</t>
  </si>
  <si>
    <t>LLQ220614006</t>
  </si>
  <si>
    <t>LBB230806009</t>
  </si>
  <si>
    <t>指标</t>
  </si>
  <si>
    <t>值</t>
  </si>
  <si>
    <t>值（MXN）</t>
  </si>
  <si>
    <t>销售总额</t>
  </si>
  <si>
    <t>产品分类</t>
  </si>
  <si>
    <t>求和项:销售额</t>
  </si>
  <si>
    <t>计数项:订单号</t>
  </si>
  <si>
    <t>利润总额</t>
  </si>
  <si>
    <t>利润率</t>
  </si>
  <si>
    <t>订单量</t>
  </si>
  <si>
    <t>客单价</t>
  </si>
  <si>
    <t>日期</t>
  </si>
  <si>
    <t>物流状态</t>
  </si>
  <si>
    <t>计数</t>
  </si>
  <si>
    <t>总计</t>
  </si>
  <si>
    <t>出单产品SKU</t>
  </si>
  <si>
    <t>行标签</t>
  </si>
</sst>
</file>

<file path=xl/styles.xml><?xml version="1.0" encoding="utf-8"?>
<styleSheet xmlns="http://schemas.openxmlformats.org/spreadsheetml/2006/main" xmlns:mc="http://schemas.openxmlformats.org/markup-compatibility/2006" xmlns:xr9="http://schemas.microsoft.com/office/spreadsheetml/2016/revision9" mc:Ignorable="xr9">
  <numFmts count="1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Red]\(0.00\)"/>
    <numFmt numFmtId="177" formatCode="[$MXN]\ #,##0.00_);[Red]\([$MXN]\ #,##0.00\)"/>
    <numFmt numFmtId="178" formatCode="#,##0.00_ "/>
    <numFmt numFmtId="179" formatCode="#,##0.00_);[Red]\(#,##0.00\)"/>
    <numFmt numFmtId="180" formatCode="0;[Red]0"/>
    <numFmt numFmtId="181" formatCode="0.000_);[Red]\(0.000\)"/>
    <numFmt numFmtId="182" formatCode="0.00_ "/>
    <numFmt numFmtId="183" formatCode="0.00_);[Red]\(0.00\)"/>
    <numFmt numFmtId="184" formatCode="0.000_);[Red]\(0.000\)"/>
    <numFmt numFmtId="185" formatCode="0.00_);[Red]\(0.00\)"/>
    <numFmt numFmtId="186" formatCode="0.000_);[Red]\(0.000\)"/>
    <numFmt numFmtId="187" formatCode="0.00_);[Red]\(0.00\)"/>
    <numFmt numFmtId="188" formatCode="0.000_);[Red]\(0.000\)"/>
    <numFmt numFmtId="189" formatCode="0.00_);[Red]\(0.00\)"/>
    <numFmt numFmtId="190" formatCode="0.000_);[Red]\(0.000\)"/>
  </numFmts>
  <fonts count="23">
    <font>
      <sz val="11"/>
      <color theme="1"/>
      <name val="宋体"/>
      <charset val="134"/>
      <scheme val="minor"/>
    </font>
    <font>
      <sz val="10.5"/>
      <color rgb="FFFFFFFF"/>
      <name val="微软雅黑"/>
      <charset val="134"/>
    </font>
    <font>
      <sz val="11"/>
      <color theme="1"/>
      <name val="宋体"/>
      <charset val="134"/>
      <scheme val="minor"/>
    </font>
    <font>
      <sz val="11"/>
      <color indexed="8"/>
      <name val="宋体"/>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s>
  <fills count="34">
    <fill>
      <patternFill patternType="none"/>
    </fill>
    <fill>
      <patternFill patternType="gray125"/>
    </fill>
    <fill>
      <patternFill patternType="solid">
        <fgColor theme="4"/>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4"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0" fillId="3" borderId="2" applyNumberFormat="0" applyFont="0" applyAlignment="0" applyProtection="0">
      <alignment vertical="center"/>
    </xf>
    <xf numFmtId="0" fontId="6"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3" applyNumberFormat="0" applyFill="0" applyAlignment="0" applyProtection="0">
      <alignment vertical="center"/>
    </xf>
    <xf numFmtId="0" fontId="10" fillId="0" borderId="3" applyNumberFormat="0" applyFill="0" applyAlignment="0" applyProtection="0">
      <alignment vertical="center"/>
    </xf>
    <xf numFmtId="0" fontId="11" fillId="0" borderId="4" applyNumberFormat="0" applyFill="0" applyAlignment="0" applyProtection="0">
      <alignment vertical="center"/>
    </xf>
    <xf numFmtId="0" fontId="11" fillId="0" borderId="0" applyNumberFormat="0" applyFill="0" applyBorder="0" applyAlignment="0" applyProtection="0">
      <alignment vertical="center"/>
    </xf>
    <xf numFmtId="0" fontId="12" fillId="4" borderId="5" applyNumberFormat="0" applyAlignment="0" applyProtection="0">
      <alignment vertical="center"/>
    </xf>
    <xf numFmtId="0" fontId="13" fillId="5" borderId="6" applyNumberFormat="0" applyAlignment="0" applyProtection="0">
      <alignment vertical="center"/>
    </xf>
    <xf numFmtId="0" fontId="14" fillId="5" borderId="5" applyNumberFormat="0" applyAlignment="0" applyProtection="0">
      <alignment vertical="center"/>
    </xf>
    <xf numFmtId="0" fontId="15" fillId="6" borderId="7" applyNumberFormat="0" applyAlignment="0" applyProtection="0">
      <alignment vertical="center"/>
    </xf>
    <xf numFmtId="0" fontId="16" fillId="0" borderId="8" applyNumberFormat="0" applyFill="0" applyAlignment="0" applyProtection="0">
      <alignment vertical="center"/>
    </xf>
    <xf numFmtId="0" fontId="17" fillId="0" borderId="9" applyNumberFormat="0" applyFill="0" applyAlignment="0" applyProtection="0">
      <alignment vertical="center"/>
    </xf>
    <xf numFmtId="0" fontId="18" fillId="7" borderId="0" applyNumberFormat="0" applyBorder="0" applyAlignment="0" applyProtection="0">
      <alignment vertical="center"/>
    </xf>
    <xf numFmtId="0" fontId="19" fillId="8" borderId="0" applyNumberFormat="0" applyBorder="0" applyAlignment="0" applyProtection="0">
      <alignment vertical="center"/>
    </xf>
    <xf numFmtId="0" fontId="20" fillId="9" borderId="0" applyNumberFormat="0" applyBorder="0" applyAlignment="0" applyProtection="0">
      <alignment vertical="center"/>
    </xf>
    <xf numFmtId="0" fontId="21" fillId="10" borderId="0" applyNumberFormat="0" applyBorder="0" applyAlignment="0" applyProtection="0">
      <alignment vertical="center"/>
    </xf>
    <xf numFmtId="0" fontId="22" fillId="11" borderId="0" applyNumberFormat="0" applyBorder="0" applyAlignment="0" applyProtection="0">
      <alignment vertical="center"/>
    </xf>
    <xf numFmtId="0" fontId="22" fillId="12" borderId="0" applyNumberFormat="0" applyBorder="0" applyAlignment="0" applyProtection="0">
      <alignment vertical="center"/>
    </xf>
    <xf numFmtId="0" fontId="21" fillId="13" borderId="0" applyNumberFormat="0" applyBorder="0" applyAlignment="0" applyProtection="0">
      <alignment vertical="center"/>
    </xf>
    <xf numFmtId="0" fontId="21" fillId="14" borderId="0" applyNumberFormat="0" applyBorder="0" applyAlignment="0" applyProtection="0">
      <alignment vertical="center"/>
    </xf>
    <xf numFmtId="0" fontId="22" fillId="15" borderId="0" applyNumberFormat="0" applyBorder="0" applyAlignment="0" applyProtection="0">
      <alignment vertical="center"/>
    </xf>
    <xf numFmtId="0" fontId="22" fillId="16" borderId="0" applyNumberFormat="0" applyBorder="0" applyAlignment="0" applyProtection="0">
      <alignment vertical="center"/>
    </xf>
    <xf numFmtId="0" fontId="21" fillId="17" borderId="0" applyNumberFormat="0" applyBorder="0" applyAlignment="0" applyProtection="0">
      <alignment vertical="center"/>
    </xf>
    <xf numFmtId="0" fontId="21" fillId="18" borderId="0" applyNumberFormat="0" applyBorder="0" applyAlignment="0" applyProtection="0">
      <alignment vertical="center"/>
    </xf>
    <xf numFmtId="0" fontId="22" fillId="19" borderId="0" applyNumberFormat="0" applyBorder="0" applyAlignment="0" applyProtection="0">
      <alignment vertical="center"/>
    </xf>
    <xf numFmtId="0" fontId="22" fillId="20" borderId="0" applyNumberFormat="0" applyBorder="0" applyAlignment="0" applyProtection="0">
      <alignment vertical="center"/>
    </xf>
    <xf numFmtId="0" fontId="21" fillId="21" borderId="0" applyNumberFormat="0" applyBorder="0" applyAlignment="0" applyProtection="0">
      <alignment vertical="center"/>
    </xf>
    <xf numFmtId="0" fontId="21" fillId="22" borderId="0" applyNumberFormat="0" applyBorder="0" applyAlignment="0" applyProtection="0">
      <alignment vertical="center"/>
    </xf>
    <xf numFmtId="0" fontId="22" fillId="23" borderId="0" applyNumberFormat="0" applyBorder="0" applyAlignment="0" applyProtection="0">
      <alignment vertical="center"/>
    </xf>
    <xf numFmtId="0" fontId="22"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1" fillId="29" borderId="0" applyNumberFormat="0" applyBorder="0" applyAlignment="0" applyProtection="0">
      <alignment vertical="center"/>
    </xf>
    <xf numFmtId="0" fontId="21" fillId="30" borderId="0" applyNumberFormat="0" applyBorder="0" applyAlignment="0" applyProtection="0">
      <alignment vertical="center"/>
    </xf>
    <xf numFmtId="0" fontId="22" fillId="31" borderId="0" applyNumberFormat="0" applyBorder="0" applyAlignment="0" applyProtection="0">
      <alignment vertical="center"/>
    </xf>
    <xf numFmtId="0" fontId="22" fillId="32" borderId="0" applyNumberFormat="0" applyBorder="0" applyAlignment="0" applyProtection="0">
      <alignment vertical="center"/>
    </xf>
    <xf numFmtId="0" fontId="21" fillId="33" borderId="0" applyNumberFormat="0" applyBorder="0" applyAlignment="0" applyProtection="0">
      <alignment vertical="center"/>
    </xf>
  </cellStyleXfs>
  <cellXfs count="31">
    <xf numFmtId="0" fontId="0" fillId="0" borderId="0" xfId="0">
      <alignment vertical="center"/>
    </xf>
    <xf numFmtId="0" fontId="1" fillId="0" borderId="0" xfId="0" applyFont="1">
      <alignment vertical="center"/>
    </xf>
    <xf numFmtId="0" fontId="0" fillId="0" borderId="0" xfId="0" applyAlignment="1">
      <alignment horizontal="left" vertical="center"/>
    </xf>
    <xf numFmtId="0" fontId="0" fillId="0" borderId="0" xfId="0" applyAlignment="1">
      <alignment horizontal="right" vertical="center"/>
    </xf>
    <xf numFmtId="176" fontId="0" fillId="0" borderId="0" xfId="3" applyNumberFormat="1" applyFont="1" applyAlignment="1">
      <alignment horizontal="left" vertical="center"/>
    </xf>
    <xf numFmtId="10" fontId="0" fillId="0" borderId="0" xfId="0" applyNumberFormat="1" applyAlignment="1">
      <alignment horizontal="left" vertical="center"/>
    </xf>
    <xf numFmtId="0" fontId="0" fillId="0" borderId="0" xfId="0" applyAlignment="1">
      <alignment horizontal="center" vertical="center"/>
    </xf>
    <xf numFmtId="0" fontId="0" fillId="0" borderId="0" xfId="0" applyAlignment="1">
      <alignment horizontal="left" vertical="center"/>
    </xf>
    <xf numFmtId="177" fontId="0" fillId="0" borderId="0" xfId="0" applyNumberFormat="1" applyAlignment="1">
      <alignment horizontal="left" vertical="center"/>
    </xf>
    <xf numFmtId="176" fontId="0" fillId="0" borderId="0" xfId="0" applyNumberFormat="1">
      <alignment vertical="center"/>
    </xf>
    <xf numFmtId="0" fontId="0" fillId="0" borderId="0" xfId="0" applyNumberFormat="1">
      <alignment vertical="center"/>
    </xf>
    <xf numFmtId="10" fontId="0" fillId="0" borderId="0" xfId="0" applyNumberFormat="1" applyAlignment="1">
      <alignment horizontal="left" vertical="center"/>
    </xf>
    <xf numFmtId="0" fontId="0" fillId="0" borderId="0" xfId="0" applyAlignment="1">
      <alignment horizontal="right" vertical="center"/>
    </xf>
    <xf numFmtId="0" fontId="0" fillId="0" borderId="0" xfId="0" applyAlignment="1">
      <alignment horizontal="left" vertical="center" indent="1"/>
    </xf>
    <xf numFmtId="9" fontId="0" fillId="0" borderId="0" xfId="0" applyNumberFormat="1">
      <alignment vertical="center"/>
    </xf>
    <xf numFmtId="0" fontId="2" fillId="2" borderId="1" xfId="0" applyFont="1" applyFill="1" applyBorder="1" applyAlignment="1">
      <alignment horizontal="center" vertical="center"/>
    </xf>
    <xf numFmtId="0" fontId="0" fillId="0" borderId="1" xfId="0" applyBorder="1" applyAlignment="1">
      <alignment horizontal="center" vertical="center"/>
    </xf>
    <xf numFmtId="178" fontId="0" fillId="0" borderId="1" xfId="0" applyNumberFormat="1" applyBorder="1" applyAlignment="1">
      <alignment horizontal="right" vertical="center"/>
    </xf>
    <xf numFmtId="179" fontId="0" fillId="0" borderId="1" xfId="0" applyNumberFormat="1" applyBorder="1" applyAlignment="1">
      <alignment horizontal="right" vertical="center"/>
    </xf>
    <xf numFmtId="10" fontId="0" fillId="0" borderId="1" xfId="0" applyNumberFormat="1" applyBorder="1" applyAlignment="1">
      <alignment horizontal="right" vertical="center"/>
    </xf>
    <xf numFmtId="0" fontId="0" fillId="0" borderId="1" xfId="0" applyBorder="1" applyAlignment="1">
      <alignment horizontal="right" vertical="center"/>
    </xf>
    <xf numFmtId="1" fontId="0" fillId="0" borderId="0" xfId="0" applyNumberFormat="1">
      <alignment vertical="center"/>
    </xf>
    <xf numFmtId="180" fontId="0" fillId="0" borderId="0" xfId="0" applyNumberFormat="1">
      <alignment vertical="center"/>
    </xf>
    <xf numFmtId="181" fontId="0" fillId="0" borderId="0" xfId="0" applyNumberFormat="1">
      <alignment vertical="center"/>
    </xf>
    <xf numFmtId="182" fontId="0" fillId="0" borderId="0" xfId="0" applyNumberFormat="1">
      <alignment vertical="center"/>
    </xf>
    <xf numFmtId="0" fontId="2" fillId="0" borderId="0" xfId="0" applyFont="1">
      <alignment vertical="center"/>
    </xf>
    <xf numFmtId="0" fontId="3" fillId="0" borderId="0" xfId="0" applyNumberFormat="1" applyFont="1" applyFill="1" applyBorder="1" applyAlignment="1" applyProtection="1">
      <alignment vertical="center"/>
    </xf>
    <xf numFmtId="1" fontId="3" fillId="0" borderId="0" xfId="0" applyNumberFormat="1" applyFont="1" applyFill="1" applyBorder="1" applyAlignment="1" applyProtection="1">
      <alignment vertical="center"/>
    </xf>
    <xf numFmtId="176" fontId="3" fillId="0" borderId="0" xfId="0" applyNumberFormat="1" applyFont="1" applyFill="1" applyBorder="1" applyAlignment="1" applyProtection="1">
      <alignment vertical="center"/>
    </xf>
    <xf numFmtId="181" fontId="3" fillId="0" borderId="0" xfId="0" applyNumberFormat="1" applyFont="1" applyFill="1" applyBorder="1" applyAlignment="1" applyProtection="1">
      <alignment vertical="center"/>
    </xf>
    <xf numFmtId="182" fontId="3" fillId="0" borderId="0" xfId="0" applyNumberFormat="1" applyFont="1" applyFill="1" applyBorder="1" applyAlignment="1" applyProtection="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2">
    <dxf>
      <alignment horizontal="right"/>
    </dxf>
    <dxf>
      <alignment horizontal="right"/>
    </dxf>
    <dxf>
      <numFmt numFmtId="9" formatCode="0%"/>
    </dxf>
    <dxf>
      <numFmt numFmtId="10" formatCode="0.00%"/>
    </dxf>
    <dxf>
      <alignment horizontal="right"/>
    </dxf>
    <dxf>
      <numFmt numFmtId="176" formatCode="0.00_);[Red]\(0.00\)"/>
    </dxf>
    <dxf>
      <numFmt numFmtId="176" formatCode="0.00_);[Red]\(0.00\)"/>
    </dxf>
    <dxf>
      <numFmt numFmtId="0" formatCode="General"/>
    </dxf>
    <dxf>
      <alignment horizontal="right"/>
    </dxf>
    <dxf>
      <alignment horizontal="right"/>
    </dxf>
    <dxf>
      <alignment horizontal="right"/>
    </dxf>
    <dxf>
      <alignment horizontal="right"/>
    </dxf>
    <dxf>
      <numFmt numFmtId="177" formatCode="[$MXN]\ #,##0.00_);[Red]\([$MXN]\ #,##0.00\)"/>
    </dxf>
    <dxf>
      <numFmt numFmtId="177" formatCode="[$MXN]\ #,##0.00_);[Red]\([$MXN]\ #,##0.00\)"/>
    </dxf>
    <dxf>
      <numFmt numFmtId="10" formatCode="0.00%"/>
    </dxf>
    <dxf>
      <alignment horizontal="left"/>
    </dxf>
    <dxf>
      <alignment horizontal="left"/>
    </dxf>
    <dxf>
      <alignment horizontal="left"/>
    </dxf>
    <dxf>
      <alignment horizontal="right"/>
    </dxf>
    <dxf>
      <numFmt numFmtId="177" formatCode="[$MXN]\ #,##0.00_);[Red]\([$MXN]\ #,##0.00\)"/>
    </dxf>
    <dxf>
      <alignment horizontal="right"/>
    </dxf>
    <dxf>
      <alignment horizontal="right"/>
    </dxf>
  </dxfs>
  <tableStyles count="0" defaultTableStyle="TableStyleMedium2" defaultPivotStyle="PivotStyleLight16"/>
  <colors>
    <mruColors>
      <color rgb="00090060"/>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microsoft.com/office/2007/relationships/slicerCache" Target="slicerCaches/slicerCache4.xml"/><Relationship Id="rId8" Type="http://schemas.microsoft.com/office/2007/relationships/slicerCache" Target="slicerCaches/slicerCache3.xml"/><Relationship Id="rId7" Type="http://schemas.microsoft.com/office/2007/relationships/slicerCache" Target="slicerCaches/slicerCache2.xml"/><Relationship Id="rId6" Type="http://schemas.microsoft.com/office/2007/relationships/slicerCache" Target="slicerCaches/slicerCach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[数据看板.xlsm]透视表!数据透视表5</c:name>
    <c:fmtId val="8"/>
  </c:pivotSource>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销售趋势</a:t>
            </a:r>
            <a:endParaRPr lang="zh-CN" altLang="en-US"/>
          </a:p>
        </c:rich>
      </c:tx>
      <c:layout/>
      <c:overlay val="0"/>
      <c:spPr>
        <a:noFill/>
        <a:ln>
          <a:noFill/>
        </a:ln>
        <a:effectLst/>
      </c:spPr>
    </c:title>
    <c:autoTitleDeleted val="0"/>
    <c:plotArea>
      <c:layout/>
      <c:barChart>
        <c:barDir val="col"/>
        <c:grouping val="clustered"/>
        <c:varyColors val="0"/>
        <c:ser>
          <c:idx val="0"/>
          <c:order val="0"/>
          <c:tx>
            <c:strRef>
              <c:f>透视表!$B$12:$B$13</c:f>
              <c:strCache>
                <c:ptCount val="1"/>
                <c:pt idx="0">
                  <c:v>订单量</c:v>
                </c:pt>
              </c:strCache>
            </c:strRef>
          </c:tx>
          <c:spPr>
            <a:solidFill>
              <a:schemeClr val="accent1"/>
            </a:solidFill>
            <a:ln>
              <a:noFill/>
            </a:ln>
            <a:effectLst/>
          </c:spPr>
          <c:invertIfNegative val="0"/>
          <c:dLbls>
            <c:delete val="1"/>
          </c:dLbls>
          <c:cat>
            <c:multiLvlStrRef>
              <c:f>透视表!$A$14:$A$16</c:f>
              <c:multiLvlStrCache>
                <c:ptCount val="2"/>
                <c:lvl>
                  <c:pt idx="0">
                    <c:v>11</c:v>
                  </c:pt>
                  <c:pt idx="1">
                    <c:v>12</c:v>
                  </c:pt>
                </c:lvl>
                <c:lvl>
                  <c:pt idx="0">
                    <c:v>2023</c:v>
                  </c:pt>
                </c:lvl>
              </c:multiLvlStrCache>
            </c:multiLvlStrRef>
          </c:cat>
          <c:val>
            <c:numRef>
              <c:f>透视表!$B$14:$B$16</c:f>
              <c:numCache>
                <c:formatCode>General</c:formatCode>
                <c:ptCount val="2"/>
                <c:pt idx="0">
                  <c:v>50</c:v>
                </c:pt>
                <c:pt idx="1">
                  <c:v>78</c:v>
                </c:pt>
              </c:numCache>
            </c:numRef>
          </c:val>
        </c:ser>
        <c:dLbls>
          <c:showLegendKey val="0"/>
          <c:showVal val="0"/>
          <c:showCatName val="0"/>
          <c:showSerName val="0"/>
          <c:showPercent val="0"/>
          <c:showBubbleSize val="0"/>
        </c:dLbls>
        <c:gapWidth val="219"/>
        <c:axId val="-899180160"/>
        <c:axId val="-899170912"/>
      </c:barChart>
      <c:lineChart>
        <c:grouping val="standard"/>
        <c:varyColors val="0"/>
        <c:ser>
          <c:idx val="1"/>
          <c:order val="1"/>
          <c:tx>
            <c:strRef>
              <c:f>透视表!$C$12:$C$13</c:f>
              <c:strCache>
                <c:ptCount val="1"/>
                <c:pt idx="0">
                  <c:v>求和项:销售额</c:v>
                </c:pt>
              </c:strCache>
            </c:strRef>
          </c:tx>
          <c:spPr>
            <a:ln w="28575" cap="rnd">
              <a:solidFill>
                <a:schemeClr val="accent2"/>
              </a:solidFill>
              <a:round/>
            </a:ln>
            <a:effectLst/>
          </c:spPr>
          <c:marker>
            <c:symbol val="none"/>
          </c:marker>
          <c:dLbls>
            <c:delete val="1"/>
          </c:dLbls>
          <c:cat>
            <c:multiLvlStrRef>
              <c:f>透视表!$A$14:$A$16</c:f>
              <c:multiLvlStrCache>
                <c:ptCount val="2"/>
                <c:lvl>
                  <c:pt idx="0">
                    <c:v>11</c:v>
                  </c:pt>
                  <c:pt idx="1">
                    <c:v>12</c:v>
                  </c:pt>
                </c:lvl>
                <c:lvl>
                  <c:pt idx="0">
                    <c:v>2023</c:v>
                  </c:pt>
                </c:lvl>
              </c:multiLvlStrCache>
            </c:multiLvlStrRef>
          </c:cat>
          <c:val>
            <c:numRef>
              <c:f>透视表!$C$14:$C$16</c:f>
              <c:numCache>
                <c:formatCode>General</c:formatCode>
                <c:ptCount val="2"/>
                <c:pt idx="0">
                  <c:v>34980</c:v>
                </c:pt>
                <c:pt idx="1">
                  <c:v>45774.96</c:v>
                </c:pt>
              </c:numCache>
            </c:numRef>
          </c:val>
          <c:smooth val="0"/>
        </c:ser>
        <c:dLbls>
          <c:showLegendKey val="0"/>
          <c:showVal val="0"/>
          <c:showCatName val="0"/>
          <c:showSerName val="0"/>
          <c:showPercent val="0"/>
          <c:showBubbleSize val="0"/>
        </c:dLbls>
        <c:marker val="0"/>
        <c:smooth val="0"/>
        <c:axId val="-721953952"/>
        <c:axId val="-721955040"/>
      </c:lineChart>
      <c:catAx>
        <c:axId val="-72195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721955040"/>
        <c:crosses val="autoZero"/>
        <c:auto val="1"/>
        <c:lblAlgn val="ctr"/>
        <c:lblOffset val="100"/>
        <c:noMultiLvlLbl val="0"/>
      </c:catAx>
      <c:valAx>
        <c:axId val="-721955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721953952"/>
        <c:crosses val="autoZero"/>
        <c:crossBetween val="between"/>
      </c:valAx>
      <c:catAx>
        <c:axId val="-899180160"/>
        <c:scaling>
          <c:orientation val="minMax"/>
        </c:scaling>
        <c:delete val="1"/>
        <c:axPos val="b"/>
        <c:numFmt formatCode="General" sourceLinked="1"/>
        <c:majorTickMark val="out"/>
        <c:minorTickMark val="none"/>
        <c:tickLblPos val="nextTo"/>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99170912"/>
        <c:crosses val="autoZero"/>
        <c:auto val="1"/>
        <c:lblAlgn val="ctr"/>
        <c:lblOffset val="100"/>
        <c:noMultiLvlLbl val="0"/>
      </c:catAx>
      <c:valAx>
        <c:axId val="-89917091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99180160"/>
        <c:crosses val="max"/>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[数据看板.xlsm]透视表!数据透视表6</c:name>
    <c:fmtId val="14"/>
  </c:pivotSource>
  <c:chart>
    <c:title>
      <c:tx>
        <c:rich>
          <a:bodyPr rot="0" spcFirstLastPara="1" vertOverflow="ellipsis" vert="horz" wrap="square" anchor="t" anchorCtr="0"/>
          <a:lstStyle/>
          <a:p>
            <a:pPr>
              <a:defRPr lang="zh-CN" sz="1400" b="0" i="0" u="none" strike="noStrike" kern="1200" spc="0" baseline="0">
                <a:solidFill>
                  <a:schemeClr val="tx1">
                    <a:lumMod val="65000"/>
                    <a:lumOff val="35000"/>
                  </a:schemeClr>
                </a:solidFill>
                <a:latin typeface="+mn-lt"/>
                <a:ea typeface="+mn-ea"/>
                <a:cs typeface="+mn-cs"/>
              </a:defRPr>
            </a:pPr>
            <a:r>
              <a:rPr lang="zh-CN" altLang="en-US"/>
              <a:t>产品分类出单情况</a:t>
            </a:r>
            <a:endParaRPr lang="en-US" altLang="zh-CN"/>
          </a:p>
        </c:rich>
      </c:tx>
      <c:layout>
        <c:manualLayout>
          <c:xMode val="edge"/>
          <c:yMode val="edge"/>
          <c:x val="0.384078202737584"/>
          <c:y val="0.0143573631382749"/>
        </c:manualLayout>
      </c:layout>
      <c:overlay val="0"/>
      <c:spPr>
        <a:noFill/>
        <a:ln>
          <a:noFill/>
        </a:ln>
        <a:effectLst/>
      </c:spPr>
    </c:title>
    <c:autoTitleDeleted val="0"/>
    <c:plotArea>
      <c:layout>
        <c:manualLayout>
          <c:layoutTarget val="inner"/>
          <c:xMode val="edge"/>
          <c:yMode val="edge"/>
          <c:x val="0.0982062870590319"/>
          <c:y val="0.11082410922797"/>
          <c:w val="0.83733900976797"/>
          <c:h val="0.477889730868281"/>
        </c:manualLayout>
      </c:layout>
      <c:barChart>
        <c:barDir val="col"/>
        <c:grouping val="clustered"/>
        <c:varyColors val="0"/>
        <c:ser>
          <c:idx val="0"/>
          <c:order val="0"/>
          <c:tx>
            <c:strRef>
              <c:f>透视表!$F$3:$F$4</c:f>
              <c:strCache>
                <c:ptCount val="1"/>
                <c:pt idx="0">
                  <c:v>求和项:销售额</c:v>
                </c:pt>
              </c:strCache>
            </c:strRef>
          </c:tx>
          <c:spPr>
            <a:solidFill>
              <a:schemeClr val="accent1"/>
            </a:solidFill>
            <a:ln>
              <a:noFill/>
            </a:ln>
            <a:effectLst/>
          </c:spPr>
          <c:invertIfNegative val="0"/>
          <c:dLbls>
            <c:delete val="1"/>
          </c:dLbls>
          <c:cat>
            <c:strRef>
              <c:f>透视表!$E$5:$E$44</c:f>
              <c:strCache>
                <c:ptCount val="39"/>
                <c:pt idx="0">
                  <c:v>Boys Coat&amp;jacket 男童外套</c:v>
                </c:pt>
                <c:pt idx="1">
                  <c:v>Boys Outfits&amp;Set 男童套装</c:v>
                </c:pt>
                <c:pt idx="2">
                  <c:v>Bra &amp; Brief Sets 内衣套装</c:v>
                </c:pt>
                <c:pt idx="3">
                  <c:v>Bra 文胸</c:v>
                </c:pt>
                <c:pt idx="4">
                  <c:v>Desktop Ornament 桌面摆件</c:v>
                </c:pt>
                <c:pt idx="5">
                  <c:v>Girls Outfits&amp;Set 女童套装</c:v>
                </c:pt>
                <c:pt idx="6">
                  <c:v>Hangs 挂件</c:v>
                </c:pt>
                <c:pt idx="7">
                  <c:v>Intimates 情趣内衣</c:v>
                </c:pt>
                <c:pt idx="8">
                  <c:v>Men's Hoodies &amp; Sweatshirts 男士连帽卫衣</c:v>
                </c:pt>
                <c:pt idx="9">
                  <c:v>Men's Hoodless Sweatshirt 男士无帽卫衣</c:v>
                </c:pt>
                <c:pt idx="10">
                  <c:v>Men's Parkas 男士棉服</c:v>
                </c:pt>
                <c:pt idx="11">
                  <c:v>Men's Sweater Coat 毛衣外套</c:v>
                </c:pt>
                <c:pt idx="12">
                  <c:v>Plus Size Coat 大码外套1</c:v>
                </c:pt>
                <c:pt idx="13">
                  <c:v>Thermal Underwear Bottoms 保暖裤/秋裤</c:v>
                </c:pt>
                <c:pt idx="14">
                  <c:v>Women Nightgowns &amp; Sleepshirts 女士睡裙</c:v>
                </c:pt>
                <c:pt idx="15">
                  <c:v>Women's Blazers &amp; Suit Jackets 女士西装外套1</c:v>
                </c:pt>
                <c:pt idx="16">
                  <c:v>Women's Casual Dress 女士休闲裙1</c:v>
                </c:pt>
                <c:pt idx="17">
                  <c:v>Women's Casual Jackets 女士休闲夹克1</c:v>
                </c:pt>
                <c:pt idx="18">
                  <c:v>Women's Casual Jackets 女士休闲夹克2</c:v>
                </c:pt>
                <c:pt idx="19">
                  <c:v>Women's Casual Pants 女士休闲裤</c:v>
                </c:pt>
                <c:pt idx="20">
                  <c:v>Women's Fleece Jackets &amp; Coats 女士抓绒外套1</c:v>
                </c:pt>
                <c:pt idx="21">
                  <c:v>Women's Fleece Jackets &amp; Coats 女士抓绒外套2</c:v>
                </c:pt>
                <c:pt idx="22">
                  <c:v>Women's Fleece Jackets &amp; Coats 女士抓绒外套3</c:v>
                </c:pt>
                <c:pt idx="23">
                  <c:v>Women's Formal Dress 女士礼服裙1</c:v>
                </c:pt>
                <c:pt idx="24">
                  <c:v>Women's Hoodies &amp; Sweatshirts 女士连帽卫衣1</c:v>
                </c:pt>
                <c:pt idx="25">
                  <c:v>Women's Hoodies &amp; Sweatshirts 女士连帽卫衣3</c:v>
                </c:pt>
                <c:pt idx="26">
                  <c:v>Women's Hoodless Sweatshirt 女士无帽卫衣1</c:v>
                </c:pt>
                <c:pt idx="27">
                  <c:v>Women's Leather &amp; Faux Leather Jackets &amp; Coats 女士皮夹克</c:v>
                </c:pt>
                <c:pt idx="28">
                  <c:v>Women's Legging 女士打底裤</c:v>
                </c:pt>
                <c:pt idx="29">
                  <c:v>Women's Outerwear Vests 女士外套背心3</c:v>
                </c:pt>
                <c:pt idx="30">
                  <c:v>Women's Panties 女士内裤</c:v>
                </c:pt>
                <c:pt idx="31">
                  <c:v>Women's Parkas 女士棉服1</c:v>
                </c:pt>
                <c:pt idx="32">
                  <c:v>Women's Parkas 女士棉服2</c:v>
                </c:pt>
                <c:pt idx="33">
                  <c:v>Women's Parkas 女士棉服3</c:v>
                </c:pt>
                <c:pt idx="34">
                  <c:v>Women's Pullover Sweater 套头毛衣1</c:v>
                </c:pt>
                <c:pt idx="35">
                  <c:v>Women's Pullover Sweater 套头毛衣2</c:v>
                </c:pt>
                <c:pt idx="36">
                  <c:v>Women's Pullover Sweater 套头毛衣3</c:v>
                </c:pt>
                <c:pt idx="37">
                  <c:v>Women's Sweater Coat 毛衣外套2</c:v>
                </c:pt>
                <c:pt idx="38">
                  <c:v>Women's Turtleneck Sweater 高领毛衣1</c:v>
                </c:pt>
              </c:strCache>
            </c:strRef>
          </c:cat>
          <c:val>
            <c:numRef>
              <c:f>透视表!$F$5:$F$44</c:f>
              <c:numCache>
                <c:formatCode>0.00_);[Red]\(0.00\)</c:formatCode>
                <c:ptCount val="39"/>
                <c:pt idx="0">
                  <c:v>358</c:v>
                </c:pt>
                <c:pt idx="1">
                  <c:v>335</c:v>
                </c:pt>
                <c:pt idx="2">
                  <c:v>414</c:v>
                </c:pt>
                <c:pt idx="3">
                  <c:v>2058</c:v>
                </c:pt>
                <c:pt idx="4">
                  <c:v>1071</c:v>
                </c:pt>
                <c:pt idx="5">
                  <c:v>340</c:v>
                </c:pt>
                <c:pt idx="6">
                  <c:v>1341</c:v>
                </c:pt>
                <c:pt idx="7">
                  <c:v>2797</c:v>
                </c:pt>
                <c:pt idx="8">
                  <c:v>1560</c:v>
                </c:pt>
                <c:pt idx="9">
                  <c:v>377</c:v>
                </c:pt>
                <c:pt idx="10">
                  <c:v>3044</c:v>
                </c:pt>
                <c:pt idx="11">
                  <c:v>10768</c:v>
                </c:pt>
                <c:pt idx="12">
                  <c:v>1328</c:v>
                </c:pt>
                <c:pt idx="13">
                  <c:v>537.96</c:v>
                </c:pt>
                <c:pt idx="14">
                  <c:v>582</c:v>
                </c:pt>
                <c:pt idx="15">
                  <c:v>4440.25</c:v>
                </c:pt>
                <c:pt idx="16">
                  <c:v>324</c:v>
                </c:pt>
                <c:pt idx="17">
                  <c:v>2268</c:v>
                </c:pt>
                <c:pt idx="18">
                  <c:v>1067</c:v>
                </c:pt>
                <c:pt idx="19">
                  <c:v>0</c:v>
                </c:pt>
                <c:pt idx="20">
                  <c:v>4693.75</c:v>
                </c:pt>
                <c:pt idx="21">
                  <c:v>2192</c:v>
                </c:pt>
                <c:pt idx="22">
                  <c:v>554</c:v>
                </c:pt>
                <c:pt idx="23">
                  <c:v>868</c:v>
                </c:pt>
                <c:pt idx="24">
                  <c:v>7035</c:v>
                </c:pt>
                <c:pt idx="25">
                  <c:v>1166</c:v>
                </c:pt>
                <c:pt idx="26">
                  <c:v>3592</c:v>
                </c:pt>
                <c:pt idx="27">
                  <c:v>1697</c:v>
                </c:pt>
                <c:pt idx="28">
                  <c:v>839</c:v>
                </c:pt>
                <c:pt idx="29">
                  <c:v>778</c:v>
                </c:pt>
                <c:pt idx="30">
                  <c:v>292</c:v>
                </c:pt>
                <c:pt idx="31">
                  <c:v>6256</c:v>
                </c:pt>
                <c:pt idx="32">
                  <c:v>1262</c:v>
                </c:pt>
                <c:pt idx="33">
                  <c:v>2330</c:v>
                </c:pt>
                <c:pt idx="34">
                  <c:v>5379</c:v>
                </c:pt>
                <c:pt idx="35">
                  <c:v>1540</c:v>
                </c:pt>
                <c:pt idx="36">
                  <c:v>3340</c:v>
                </c:pt>
                <c:pt idx="37">
                  <c:v>869</c:v>
                </c:pt>
                <c:pt idx="38">
                  <c:v>1062</c:v>
                </c:pt>
              </c:numCache>
            </c:numRef>
          </c:val>
        </c:ser>
        <c:dLbls>
          <c:showLegendKey val="0"/>
          <c:showVal val="0"/>
          <c:showCatName val="0"/>
          <c:showSerName val="0"/>
          <c:showPercent val="0"/>
          <c:showBubbleSize val="0"/>
        </c:dLbls>
        <c:gapWidth val="219"/>
        <c:overlap val="-27"/>
        <c:axId val="-1085613088"/>
        <c:axId val="-1085607648"/>
      </c:barChart>
      <c:lineChart>
        <c:grouping val="standard"/>
        <c:varyColors val="0"/>
        <c:ser>
          <c:idx val="1"/>
          <c:order val="1"/>
          <c:tx>
            <c:strRef>
              <c:f>透视表!$G$3:$G$4</c:f>
              <c:strCache>
                <c:ptCount val="1"/>
                <c:pt idx="0">
                  <c:v>计数项:订单号</c:v>
                </c:pt>
              </c:strCache>
            </c:strRef>
          </c:tx>
          <c:spPr>
            <a:ln w="28575" cap="rnd">
              <a:solidFill>
                <a:schemeClr val="accent2"/>
              </a:solidFill>
              <a:round/>
            </a:ln>
            <a:effectLst/>
          </c:spPr>
          <c:marker>
            <c:symbol val="none"/>
          </c:marker>
          <c:dLbls>
            <c:delete val="1"/>
          </c:dLbls>
          <c:cat>
            <c:strRef>
              <c:f>透视表!$E$5:$E$44</c:f>
              <c:strCache>
                <c:ptCount val="39"/>
                <c:pt idx="0">
                  <c:v>Boys Coat&amp;jacket 男童外套</c:v>
                </c:pt>
                <c:pt idx="1">
                  <c:v>Boys Outfits&amp;Set 男童套装</c:v>
                </c:pt>
                <c:pt idx="2">
                  <c:v>Bra &amp; Brief Sets 内衣套装</c:v>
                </c:pt>
                <c:pt idx="3">
                  <c:v>Bra 文胸</c:v>
                </c:pt>
                <c:pt idx="4">
                  <c:v>Desktop Ornament 桌面摆件</c:v>
                </c:pt>
                <c:pt idx="5">
                  <c:v>Girls Outfits&amp;Set 女童套装</c:v>
                </c:pt>
                <c:pt idx="6">
                  <c:v>Hangs 挂件</c:v>
                </c:pt>
                <c:pt idx="7">
                  <c:v>Intimates 情趣内衣</c:v>
                </c:pt>
                <c:pt idx="8">
                  <c:v>Men's Hoodies &amp; Sweatshirts 男士连帽卫衣</c:v>
                </c:pt>
                <c:pt idx="9">
                  <c:v>Men's Hoodless Sweatshirt 男士无帽卫衣</c:v>
                </c:pt>
                <c:pt idx="10">
                  <c:v>Men's Parkas 男士棉服</c:v>
                </c:pt>
                <c:pt idx="11">
                  <c:v>Men's Sweater Coat 毛衣外套</c:v>
                </c:pt>
                <c:pt idx="12">
                  <c:v>Plus Size Coat 大码外套1</c:v>
                </c:pt>
                <c:pt idx="13">
                  <c:v>Thermal Underwear Bottoms 保暖裤/秋裤</c:v>
                </c:pt>
                <c:pt idx="14">
                  <c:v>Women Nightgowns &amp; Sleepshirts 女士睡裙</c:v>
                </c:pt>
                <c:pt idx="15">
                  <c:v>Women's Blazers &amp; Suit Jackets 女士西装外套1</c:v>
                </c:pt>
                <c:pt idx="16">
                  <c:v>Women's Casual Dress 女士休闲裙1</c:v>
                </c:pt>
                <c:pt idx="17">
                  <c:v>Women's Casual Jackets 女士休闲夹克1</c:v>
                </c:pt>
                <c:pt idx="18">
                  <c:v>Women's Casual Jackets 女士休闲夹克2</c:v>
                </c:pt>
                <c:pt idx="19">
                  <c:v>Women's Casual Pants 女士休闲裤</c:v>
                </c:pt>
                <c:pt idx="20">
                  <c:v>Women's Fleece Jackets &amp; Coats 女士抓绒外套1</c:v>
                </c:pt>
                <c:pt idx="21">
                  <c:v>Women's Fleece Jackets &amp; Coats 女士抓绒外套2</c:v>
                </c:pt>
                <c:pt idx="22">
                  <c:v>Women's Fleece Jackets &amp; Coats 女士抓绒外套3</c:v>
                </c:pt>
                <c:pt idx="23">
                  <c:v>Women's Formal Dress 女士礼服裙1</c:v>
                </c:pt>
                <c:pt idx="24">
                  <c:v>Women's Hoodies &amp; Sweatshirts 女士连帽卫衣1</c:v>
                </c:pt>
                <c:pt idx="25">
                  <c:v>Women's Hoodies &amp; Sweatshirts 女士连帽卫衣3</c:v>
                </c:pt>
                <c:pt idx="26">
                  <c:v>Women's Hoodless Sweatshirt 女士无帽卫衣1</c:v>
                </c:pt>
                <c:pt idx="27">
                  <c:v>Women's Leather &amp; Faux Leather Jackets &amp; Coats 女士皮夹克</c:v>
                </c:pt>
                <c:pt idx="28">
                  <c:v>Women's Legging 女士打底裤</c:v>
                </c:pt>
                <c:pt idx="29">
                  <c:v>Women's Outerwear Vests 女士外套背心3</c:v>
                </c:pt>
                <c:pt idx="30">
                  <c:v>Women's Panties 女士内裤</c:v>
                </c:pt>
                <c:pt idx="31">
                  <c:v>Women's Parkas 女士棉服1</c:v>
                </c:pt>
                <c:pt idx="32">
                  <c:v>Women's Parkas 女士棉服2</c:v>
                </c:pt>
                <c:pt idx="33">
                  <c:v>Women's Parkas 女士棉服3</c:v>
                </c:pt>
                <c:pt idx="34">
                  <c:v>Women's Pullover Sweater 套头毛衣1</c:v>
                </c:pt>
                <c:pt idx="35">
                  <c:v>Women's Pullover Sweater 套头毛衣2</c:v>
                </c:pt>
                <c:pt idx="36">
                  <c:v>Women's Pullover Sweater 套头毛衣3</c:v>
                </c:pt>
                <c:pt idx="37">
                  <c:v>Women's Sweater Coat 毛衣外套2</c:v>
                </c:pt>
                <c:pt idx="38">
                  <c:v>Women's Turtleneck Sweater 高领毛衣1</c:v>
                </c:pt>
              </c:strCache>
            </c:strRef>
          </c:cat>
          <c:val>
            <c:numRef>
              <c:f>透视表!$G$5:$G$44</c:f>
              <c:numCache>
                <c:formatCode>General</c:formatCode>
                <c:ptCount val="39"/>
                <c:pt idx="0">
                  <c:v>2</c:v>
                </c:pt>
                <c:pt idx="1">
                  <c:v>1</c:v>
                </c:pt>
                <c:pt idx="2">
                  <c:v>3</c:v>
                </c:pt>
                <c:pt idx="3">
                  <c:v>9</c:v>
                </c:pt>
                <c:pt idx="4">
                  <c:v>2</c:v>
                </c:pt>
                <c:pt idx="5">
                  <c:v>1</c:v>
                </c:pt>
                <c:pt idx="6">
                  <c:v>7</c:v>
                </c:pt>
                <c:pt idx="7">
                  <c:v>13</c:v>
                </c:pt>
                <c:pt idx="8">
                  <c:v>6</c:v>
                </c:pt>
                <c:pt idx="9">
                  <c:v>1</c:v>
                </c:pt>
                <c:pt idx="10">
                  <c:v>5</c:v>
                </c:pt>
                <c:pt idx="11">
                  <c:v>18</c:v>
                </c:pt>
                <c:pt idx="12">
                  <c:v>2</c:v>
                </c:pt>
                <c:pt idx="13">
                  <c:v>1</c:v>
                </c:pt>
                <c:pt idx="14">
                  <c:v>3</c:v>
                </c:pt>
                <c:pt idx="15">
                  <c:v>12</c:v>
                </c:pt>
                <c:pt idx="16">
                  <c:v>1</c:v>
                </c:pt>
                <c:pt idx="17">
                  <c:v>3</c:v>
                </c:pt>
                <c:pt idx="18">
                  <c:v>2</c:v>
                </c:pt>
                <c:pt idx="19">
                  <c:v>3</c:v>
                </c:pt>
                <c:pt idx="20">
                  <c:v>6</c:v>
                </c:pt>
                <c:pt idx="21">
                  <c:v>4</c:v>
                </c:pt>
                <c:pt idx="22">
                  <c:v>1</c:v>
                </c:pt>
                <c:pt idx="23">
                  <c:v>1</c:v>
                </c:pt>
                <c:pt idx="24">
                  <c:v>18</c:v>
                </c:pt>
                <c:pt idx="25">
                  <c:v>3</c:v>
                </c:pt>
                <c:pt idx="26">
                  <c:v>8</c:v>
                </c:pt>
                <c:pt idx="27">
                  <c:v>3</c:v>
                </c:pt>
                <c:pt idx="28">
                  <c:v>4</c:v>
                </c:pt>
                <c:pt idx="29">
                  <c:v>1</c:v>
                </c:pt>
                <c:pt idx="30">
                  <c:v>3</c:v>
                </c:pt>
                <c:pt idx="31">
                  <c:v>7</c:v>
                </c:pt>
                <c:pt idx="32">
                  <c:v>3</c:v>
                </c:pt>
                <c:pt idx="33">
                  <c:v>4</c:v>
                </c:pt>
                <c:pt idx="34">
                  <c:v>7</c:v>
                </c:pt>
                <c:pt idx="35">
                  <c:v>4</c:v>
                </c:pt>
                <c:pt idx="36">
                  <c:v>8</c:v>
                </c:pt>
                <c:pt idx="37">
                  <c:v>2</c:v>
                </c:pt>
                <c:pt idx="38">
                  <c:v>3</c:v>
                </c:pt>
              </c:numCache>
            </c:numRef>
          </c:val>
          <c:smooth val="0"/>
        </c:ser>
        <c:dLbls>
          <c:showLegendKey val="0"/>
          <c:showVal val="0"/>
          <c:showCatName val="0"/>
          <c:showSerName val="0"/>
          <c:showPercent val="0"/>
          <c:showBubbleSize val="0"/>
        </c:dLbls>
        <c:marker val="0"/>
        <c:smooth val="0"/>
        <c:axId val="-1085609280"/>
        <c:axId val="-1085610912"/>
      </c:lineChart>
      <c:catAx>
        <c:axId val="-108561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800" b="0" i="0" u="none" strike="noStrike" kern="1200" baseline="0">
                <a:solidFill>
                  <a:schemeClr val="tx1">
                    <a:lumMod val="65000"/>
                    <a:lumOff val="35000"/>
                  </a:schemeClr>
                </a:solidFill>
                <a:latin typeface="+mn-lt"/>
                <a:ea typeface="+mn-ea"/>
                <a:cs typeface="+mn-cs"/>
              </a:defRPr>
            </a:pPr>
          </a:p>
        </c:txPr>
        <c:crossAx val="-1085607648"/>
        <c:crosses val="autoZero"/>
        <c:auto val="1"/>
        <c:lblAlgn val="ctr"/>
        <c:lblOffset val="100"/>
        <c:noMultiLvlLbl val="0"/>
      </c:catAx>
      <c:valAx>
        <c:axId val="-108560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085613088"/>
        <c:crosses val="autoZero"/>
        <c:crossBetween val="between"/>
      </c:valAx>
      <c:catAx>
        <c:axId val="-1085609280"/>
        <c:scaling>
          <c:orientation val="minMax"/>
        </c:scaling>
        <c:delete val="1"/>
        <c:axPos val="b"/>
        <c:numFmt formatCode="General" sourceLinked="1"/>
        <c:majorTickMark val="out"/>
        <c:minorTickMark val="none"/>
        <c:tickLblPos val="nextTo"/>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085610912"/>
        <c:crosses val="autoZero"/>
        <c:auto val="1"/>
        <c:lblAlgn val="ctr"/>
        <c:lblOffset val="100"/>
        <c:noMultiLvlLbl val="0"/>
      </c:catAx>
      <c:valAx>
        <c:axId val="-1085610912"/>
        <c:scaling>
          <c:orientation val="minMax"/>
          <c:max val="24"/>
          <c:min val="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085609280"/>
        <c:crosses val="max"/>
        <c:crossBetween val="between"/>
        <c:majorUnit val="4"/>
      </c:valAx>
      <c:spPr>
        <a:noFill/>
        <a:ln>
          <a:noFill/>
        </a:ln>
        <a:effectLst/>
      </c:spPr>
    </c:plotArea>
    <c:legend>
      <c:legendPos val="t"/>
      <c:layout>
        <c:manualLayout>
          <c:xMode val="edge"/>
          <c:yMode val="edge"/>
          <c:x val="0.690616134838618"/>
          <c:y val="0.0170924287839193"/>
          <c:w val="0.306619944027913"/>
          <c:h val="0.0551376550404051"/>
        </c:manualLayout>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[数据看板.xlsm]透视表!数据透视表7</c:name>
    <c:fmtId val="5"/>
  </c:pivotSource>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订单发货情况</a:t>
            </a:r>
            <a:endParaRPr lang="en-US" altLang="zh-CN"/>
          </a:p>
        </c:rich>
      </c:tx>
      <c:layout/>
      <c:overlay val="0"/>
      <c:spPr>
        <a:noFill/>
        <a:ln>
          <a:noFill/>
        </a:ln>
        <a:effectLst/>
      </c:spPr>
    </c:title>
    <c:autoTitleDeleted val="0"/>
    <c:plotArea>
      <c:layout>
        <c:manualLayout>
          <c:layoutTarget val="inner"/>
          <c:xMode val="edge"/>
          <c:yMode val="edge"/>
          <c:x val="0.290241730303652"/>
          <c:y val="0.353098557275668"/>
          <c:w val="0.385643197419438"/>
          <c:h val="0.624944405039918"/>
        </c:manualLayout>
      </c:layout>
      <c:pieChart>
        <c:varyColors val="1"/>
        <c:ser>
          <c:idx val="0"/>
          <c:order val="0"/>
          <c:tx>
            <c:strRef>
              <c:f>透视表!$B$23:$B$24</c:f>
              <c:strCache>
                <c:ptCount val="1"/>
                <c:pt idx="0">
                  <c:v>求和项:销售额</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Lbls>
            <c:delete val="1"/>
          </c:dLbls>
          <c:cat>
            <c:strRef>
              <c:f>透视表!$A$25:$A$29</c:f>
              <c:strCache>
                <c:ptCount val="4"/>
                <c:pt idx="0">
                  <c:v>系统备份</c:v>
                </c:pt>
                <c:pt idx="1">
                  <c:v>已发货</c:v>
                </c:pt>
                <c:pt idx="2">
                  <c:v>已取消</c:v>
                </c:pt>
                <c:pt idx="3">
                  <c:v>作废订单</c:v>
                </c:pt>
              </c:strCache>
            </c:strRef>
          </c:cat>
          <c:val>
            <c:numRef>
              <c:f>透视表!$B$25:$B$29</c:f>
              <c:numCache>
                <c:formatCode>General</c:formatCode>
                <c:ptCount val="4"/>
                <c:pt idx="0">
                  <c:v>1672</c:v>
                </c:pt>
                <c:pt idx="1">
                  <c:v>75567.71</c:v>
                </c:pt>
                <c:pt idx="2">
                  <c:v>350</c:v>
                </c:pt>
                <c:pt idx="3">
                  <c:v>3165.25</c:v>
                </c:pt>
              </c:numCache>
            </c:numRef>
          </c:val>
        </c:ser>
        <c:ser>
          <c:idx val="1"/>
          <c:order val="1"/>
          <c:tx>
            <c:strRef>
              <c:f>透视表!$C$23:$C$24</c:f>
              <c:strCache>
                <c:ptCount val="1"/>
                <c:pt idx="0">
                  <c:v>计数</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Lbls>
            <c:delete val="1"/>
          </c:dLbls>
          <c:cat>
            <c:strRef>
              <c:f>透视表!$A$25:$A$29</c:f>
              <c:strCache>
                <c:ptCount val="4"/>
                <c:pt idx="0">
                  <c:v>系统备份</c:v>
                </c:pt>
                <c:pt idx="1">
                  <c:v>已发货</c:v>
                </c:pt>
                <c:pt idx="2">
                  <c:v>已取消</c:v>
                </c:pt>
                <c:pt idx="3">
                  <c:v>作废订单</c:v>
                </c:pt>
              </c:strCache>
            </c:strRef>
          </c:cat>
          <c:val>
            <c:numRef>
              <c:f>透视表!$C$25:$C$29</c:f>
              <c:numCache>
                <c:formatCode>General</c:formatCode>
                <c:ptCount val="4"/>
                <c:pt idx="0">
                  <c:v>3</c:v>
                </c:pt>
                <c:pt idx="1">
                  <c:v>176</c:v>
                </c:pt>
                <c:pt idx="2">
                  <c:v>1</c:v>
                </c:pt>
                <c:pt idx="3">
                  <c:v>5</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t"/>
      <c:layout>
        <c:manualLayout>
          <c:xMode val="edge"/>
          <c:yMode val="edge"/>
          <c:x val="0.0275942379044831"/>
          <c:y val="0.182243412780638"/>
          <c:w val="0.968522596853086"/>
          <c:h val="0.209279960442754"/>
        </c:manualLayout>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6350</xdr:rowOff>
    </xdr:from>
    <xdr:to>
      <xdr:col>19</xdr:col>
      <xdr:colOff>171450</xdr:colOff>
      <xdr:row>3</xdr:row>
      <xdr:rowOff>12700</xdr:rowOff>
    </xdr:to>
    <xdr:sp>
      <xdr:nvSpPr>
        <xdr:cNvPr id="2" name="矩形 1"/>
        <xdr:cNvSpPr/>
      </xdr:nvSpPr>
      <xdr:spPr>
        <a:xfrm>
          <a:off x="0" y="6350"/>
          <a:ext cx="11753850" cy="53975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xdr:txBody>
    </xdr:sp>
    <xdr:clientData/>
  </xdr:twoCellAnchor>
  <xdr:twoCellAnchor>
    <xdr:from>
      <xdr:col>7</xdr:col>
      <xdr:colOff>190500</xdr:colOff>
      <xdr:row>0</xdr:row>
      <xdr:rowOff>19050</xdr:rowOff>
    </xdr:from>
    <xdr:to>
      <xdr:col>12</xdr:col>
      <xdr:colOff>82550</xdr:colOff>
      <xdr:row>2</xdr:row>
      <xdr:rowOff>171450</xdr:rowOff>
    </xdr:to>
    <xdr:sp>
      <xdr:nvSpPr>
        <xdr:cNvPr id="3" name="文本框 3"/>
        <xdr:cNvSpPr txBox="1"/>
      </xdr:nvSpPr>
      <xdr:spPr>
        <a:xfrm>
          <a:off x="4457700" y="19050"/>
          <a:ext cx="294005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2400" b="1" spc="100" baseline="0">
              <a:solidFill>
                <a:schemeClr val="bg1"/>
              </a:solidFill>
              <a:latin typeface="微软雅黑" panose="020B0503020204020204" pitchFamily="34" charset="-122"/>
              <a:ea typeface="微软雅黑" panose="020B0503020204020204" pitchFamily="34" charset="-122"/>
            </a:rPr>
            <a:t>销售仪表盘</a:t>
          </a:r>
          <a:endParaRPr lang="zh-CN" altLang="en-US" sz="2400" b="1" spc="100" baseline="0">
            <a:solidFill>
              <a:schemeClr val="bg1"/>
            </a:solidFill>
            <a:latin typeface="微软雅黑" panose="020B0503020204020204" pitchFamily="34" charset="-122"/>
            <a:ea typeface="微软雅黑" panose="020B0503020204020204" pitchFamily="34" charset="-122"/>
          </a:endParaRPr>
        </a:p>
      </xdr:txBody>
    </xdr:sp>
    <xdr:clientData/>
  </xdr:twoCellAnchor>
  <xdr:twoCellAnchor editAs="oneCell">
    <xdr:from>
      <xdr:col>0</xdr:col>
      <xdr:colOff>0</xdr:colOff>
      <xdr:row>3</xdr:row>
      <xdr:rowOff>12700</xdr:rowOff>
    </xdr:from>
    <xdr:to>
      <xdr:col>3</xdr:col>
      <xdr:colOff>0</xdr:colOff>
      <xdr:row>7</xdr:row>
      <xdr:rowOff>158750</xdr:rowOff>
    </xdr:to>
    <mc:AlternateContent xmlns:mc="http://schemas.openxmlformats.org/markup-compatibility/2006">
      <mc:Choice xmlns:a14="http://schemas.microsoft.com/office/drawing/2010/main" Requires="a14">
        <xdr:graphicFrame>
          <xdr:nvGraphicFramePr>
            <xdr:cNvPr id="4" name="年 1"/>
            <xdr:cNvGraphicFramePr/>
          </xdr:nvGraphicFramePr>
          <xdr:xfrm>
            <a:off x="0" y="0"/>
            <a:ext cx="0" cy="0"/>
          </xdr:xfrm>
          <a:graphic>
            <a:graphicData uri="http://schemas.microsoft.com/office/drawing/2010/slicer">
              <sle:slicer xmlns:sle="http://schemas.microsoft.com/office/drawing/2010/slicer" name="年 1"/>
            </a:graphicData>
          </a:graphic>
        </xdr:graphicFrame>
      </mc:Choice>
      <mc:Fallback xmlns="">
        <xdr:sp macro="" textlink="">
          <xdr:nvSpPr>
            <xdr:cNvPr id="0" name=""/>
            <xdr:cNvSpPr>
              <a:spLocks noTextEdit="1"/>
            </xdr:cNvSpPr>
          </xdr:nvSpPr>
          <xdr:spPr>
            <a:xfrm>
              <a:off x="0" y="546100"/>
              <a:ext cx="1828800" cy="857250"/>
            </a:xfrm>
            <a:prstGeom prst="rect">
              <a:avLst/>
            </a:prstGeom>
            <a:solidFill>
              <a:prstClr val="white"/>
            </a:solidFill>
            <a:ln w="1">
              <a:solidFill>
                <a:prstClr val="green"/>
              </a:solidFill>
            </a:ln>
          </xdr:spPr>
          <xdr:txBody>
            <a:bodyPr vertOverflow="clip" horzOverflow="clip"/>
            <a:lstStyle/>
            <a:p>
              <a:r>
                <a:rPr sz="1100"/>
                <a:t>此形状表示切片器。
当前版本不支持切片器，请升级到最新版的WPS。</a:t>
              </a:r>
            </a:p>
          </xdr:txBody>
        </xdr:sp>
      </mc:Fallback>
    </mc:AlternateContent>
    <xdr:clientData/>
  </xdr:twoCellAnchor>
  <xdr:twoCellAnchor editAs="oneCell">
    <xdr:from>
      <xdr:col>0</xdr:col>
      <xdr:colOff>0</xdr:colOff>
      <xdr:row>8</xdr:row>
      <xdr:rowOff>0</xdr:rowOff>
    </xdr:from>
    <xdr:to>
      <xdr:col>3</xdr:col>
      <xdr:colOff>0</xdr:colOff>
      <xdr:row>15</xdr:row>
      <xdr:rowOff>114576</xdr:rowOff>
    </xdr:to>
    <mc:AlternateContent xmlns:mc="http://schemas.openxmlformats.org/markup-compatibility/2006">
      <mc:Choice xmlns:a14="http://schemas.microsoft.com/office/drawing/2010/main" Requires="a14">
        <xdr:graphicFrame>
          <xdr:nvGraphicFramePr>
            <xdr:cNvPr id="5" name="月 1"/>
            <xdr:cNvGraphicFramePr/>
          </xdr:nvGraphicFramePr>
          <xdr:xfrm>
            <a:off x="0" y="0"/>
            <a:ext cx="0" cy="0"/>
          </xdr:xfrm>
          <a:graphic>
            <a:graphicData uri="http://schemas.microsoft.com/office/drawing/2010/slicer">
              <sle:slicer xmlns:sle="http://schemas.microsoft.com/office/drawing/2010/slicer" name="月 1"/>
            </a:graphicData>
          </a:graphic>
        </xdr:graphicFrame>
      </mc:Choice>
      <mc:Fallback xmlns="">
        <xdr:sp macro="" textlink="">
          <xdr:nvSpPr>
            <xdr:cNvPr id="0" name=""/>
            <xdr:cNvSpPr>
              <a:spLocks noTextEdit="1"/>
            </xdr:cNvSpPr>
          </xdr:nvSpPr>
          <xdr:spPr>
            <a:xfrm>
              <a:off x="0" y="1422400"/>
              <a:ext cx="1828800" cy="1371600"/>
            </a:xfrm>
            <a:prstGeom prst="rect">
              <a:avLst/>
            </a:prstGeom>
            <a:solidFill>
              <a:prstClr val="white"/>
            </a:solidFill>
            <a:ln w="1">
              <a:solidFill>
                <a:prstClr val="green"/>
              </a:solidFill>
            </a:ln>
          </xdr:spPr>
          <xdr:txBody>
            <a:bodyPr vertOverflow="clip" horzOverflow="clip"/>
            <a:lstStyle/>
            <a:p>
              <a:r>
                <a:rPr sz="1100"/>
                <a:t>此形状表示切片器。
当前版本不支持切片器，请升级到最新版的WPS。</a:t>
              </a:r>
            </a:p>
          </xdr:txBody>
        </xdr:sp>
      </mc:Fallback>
    </mc:AlternateContent>
    <xdr:clientData/>
  </xdr:twoCellAnchor>
  <xdr:twoCellAnchor editAs="oneCell">
    <xdr:from>
      <xdr:col>16</xdr:col>
      <xdr:colOff>152400</xdr:colOff>
      <xdr:row>3</xdr:row>
      <xdr:rowOff>19050</xdr:rowOff>
    </xdr:from>
    <xdr:to>
      <xdr:col>19</xdr:col>
      <xdr:colOff>152400</xdr:colOff>
      <xdr:row>26</xdr:row>
      <xdr:rowOff>0</xdr:rowOff>
    </xdr:to>
    <mc:AlternateContent xmlns:mc="http://schemas.openxmlformats.org/markup-compatibility/2006">
      <mc:Choice xmlns:a14="http://schemas.microsoft.com/office/drawing/2010/main" Requires="a14">
        <xdr:graphicFrame>
          <xdr:nvGraphicFramePr>
            <xdr:cNvPr id="6" name="产品分类 1"/>
            <xdr:cNvGraphicFramePr/>
          </xdr:nvGraphicFramePr>
          <xdr:xfrm>
            <a:off x="0" y="0"/>
            <a:ext cx="0" cy="0"/>
          </xdr:xfrm>
          <a:graphic>
            <a:graphicData uri="http://schemas.microsoft.com/office/drawing/2010/slicer">
              <sle:slicer xmlns:sle="http://schemas.microsoft.com/office/drawing/2010/slicer" name="产品分类 1"/>
            </a:graphicData>
          </a:graphic>
        </xdr:graphicFrame>
      </mc:Choice>
      <mc:Fallback xmlns="">
        <xdr:sp macro="" textlink="">
          <xdr:nvSpPr>
            <xdr:cNvPr id="0" name=""/>
            <xdr:cNvSpPr>
              <a:spLocks noTextEdit="1"/>
            </xdr:cNvSpPr>
          </xdr:nvSpPr>
          <xdr:spPr>
            <a:xfrm>
              <a:off x="9906000" y="552450"/>
              <a:ext cx="1828800" cy="4083050"/>
            </a:xfrm>
            <a:prstGeom prst="rect">
              <a:avLst/>
            </a:prstGeom>
            <a:solidFill>
              <a:prstClr val="white"/>
            </a:solidFill>
            <a:ln w="1">
              <a:solidFill>
                <a:prstClr val="green"/>
              </a:solidFill>
            </a:ln>
          </xdr:spPr>
          <xdr:txBody>
            <a:bodyPr vertOverflow="clip" horzOverflow="clip"/>
            <a:lstStyle/>
            <a:p>
              <a:r>
                <a:rPr sz="1100"/>
                <a:t>此形状表示切片器。
当前版本不支持切片器，请升级到最新版的WPS。</a:t>
              </a:r>
            </a:p>
          </xdr:txBody>
        </xdr:sp>
      </mc:Fallback>
    </mc:AlternateContent>
    <xdr:clientData/>
  </xdr:twoCellAnchor>
  <xdr:twoCellAnchor editAs="oneCell">
    <xdr:from>
      <xdr:col>0</xdr:col>
      <xdr:colOff>0</xdr:colOff>
      <xdr:row>15</xdr:row>
      <xdr:rowOff>82827</xdr:rowOff>
    </xdr:from>
    <xdr:to>
      <xdr:col>3</xdr:col>
      <xdr:colOff>0</xdr:colOff>
      <xdr:row>27</xdr:row>
      <xdr:rowOff>1</xdr:rowOff>
    </xdr:to>
    <mc:AlternateContent xmlns:mc="http://schemas.openxmlformats.org/markup-compatibility/2006">
      <mc:Choice xmlns:a14="http://schemas.microsoft.com/office/drawing/2010/main" Requires="a14">
        <xdr:graphicFrame>
          <xdr:nvGraphicFramePr>
            <xdr:cNvPr id="8" name="订单状态 1"/>
            <xdr:cNvGraphicFramePr/>
          </xdr:nvGraphicFramePr>
          <xdr:xfrm>
            <a:off x="0" y="0"/>
            <a:ext cx="0" cy="0"/>
          </xdr:xfrm>
          <a:graphic>
            <a:graphicData uri="http://schemas.microsoft.com/office/drawing/2010/slicer">
              <sle:slicer xmlns:sle="http://schemas.microsoft.com/office/drawing/2010/slicer" name="订单状态 1"/>
            </a:graphicData>
          </a:graphic>
        </xdr:graphicFrame>
      </mc:Choice>
      <mc:Fallback xmlns="">
        <xdr:sp macro="" textlink="">
          <xdr:nvSpPr>
            <xdr:cNvPr id="0" name=""/>
            <xdr:cNvSpPr>
              <a:spLocks noTextEdit="1"/>
            </xdr:cNvSpPr>
          </xdr:nvSpPr>
          <xdr:spPr>
            <a:xfrm>
              <a:off x="0" y="2762250"/>
              <a:ext cx="1828800" cy="2051050"/>
            </a:xfrm>
            <a:prstGeom prst="rect">
              <a:avLst/>
            </a:prstGeom>
            <a:solidFill>
              <a:prstClr val="white"/>
            </a:solidFill>
            <a:ln w="1">
              <a:solidFill>
                <a:prstClr val="green"/>
              </a:solidFill>
            </a:ln>
          </xdr:spPr>
          <xdr:txBody>
            <a:bodyPr vertOverflow="clip" horzOverflow="clip"/>
            <a:lstStyle/>
            <a:p>
              <a:r>
                <a:rPr sz="1100"/>
                <a:t>此形状表示切片器。
当前版本不支持切片器，请升级到最新版的WPS。</a:t>
              </a:r>
            </a:p>
          </xdr:txBody>
        </xdr:sp>
      </mc:Fallback>
    </mc:AlternateContent>
    <xdr:clientData/>
  </xdr:twoCellAnchor>
  <xdr:twoCellAnchor>
    <xdr:from>
      <xdr:col>3</xdr:col>
      <xdr:colOff>44450</xdr:colOff>
      <xdr:row>3</xdr:row>
      <xdr:rowOff>88900</xdr:rowOff>
    </xdr:from>
    <xdr:to>
      <xdr:col>5</xdr:col>
      <xdr:colOff>368300</xdr:colOff>
      <xdr:row>8</xdr:row>
      <xdr:rowOff>12700</xdr:rowOff>
    </xdr:to>
    <xdr:sp>
      <xdr:nvSpPr>
        <xdr:cNvPr id="9" name="圆角矩形 8"/>
        <xdr:cNvSpPr/>
      </xdr:nvSpPr>
      <xdr:spPr>
        <a:xfrm>
          <a:off x="1873250" y="622300"/>
          <a:ext cx="1543050" cy="812800"/>
        </a:xfrm>
        <a:prstGeom prst="roundRect">
          <a:avLst>
            <a:gd name="adj" fmla="val 29948"/>
          </a:avLst>
        </a:prstGeom>
        <a:solidFill>
          <a:schemeClr val="tx2">
            <a:lumMod val="60000"/>
            <a:lumOff val="40000"/>
          </a:schemeClr>
        </a:solidFill>
        <a:ln>
          <a:solidFill>
            <a:schemeClr val="bg1"/>
          </a:solidFill>
        </a:ln>
        <a:effectLst>
          <a:outerShdw blurRad="152400" dist="50800" dir="5400000" algn="t" rotWithShape="0">
            <a:prstClr val="black">
              <a:alpha val="3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438150</xdr:colOff>
      <xdr:row>3</xdr:row>
      <xdr:rowOff>88900</xdr:rowOff>
    </xdr:from>
    <xdr:to>
      <xdr:col>8</xdr:col>
      <xdr:colOff>152400</xdr:colOff>
      <xdr:row>8</xdr:row>
      <xdr:rowOff>12700</xdr:rowOff>
    </xdr:to>
    <xdr:sp>
      <xdr:nvSpPr>
        <xdr:cNvPr id="10" name="圆角矩形 9"/>
        <xdr:cNvSpPr/>
      </xdr:nvSpPr>
      <xdr:spPr>
        <a:xfrm>
          <a:off x="3486150" y="622300"/>
          <a:ext cx="1543050" cy="812800"/>
        </a:xfrm>
        <a:prstGeom prst="roundRect">
          <a:avLst>
            <a:gd name="adj" fmla="val 29948"/>
          </a:avLst>
        </a:prstGeom>
        <a:solidFill>
          <a:schemeClr val="tx2">
            <a:lumMod val="60000"/>
            <a:lumOff val="40000"/>
          </a:schemeClr>
        </a:solidFill>
        <a:ln>
          <a:solidFill>
            <a:schemeClr val="bg1"/>
          </a:solidFill>
        </a:ln>
        <a:effectLst>
          <a:outerShdw blurRad="152400" dist="50800" dir="5400000" algn="t" rotWithShape="0">
            <a:prstClr val="black">
              <a:alpha val="3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8</xdr:col>
      <xdr:colOff>222250</xdr:colOff>
      <xdr:row>3</xdr:row>
      <xdr:rowOff>88900</xdr:rowOff>
    </xdr:from>
    <xdr:to>
      <xdr:col>10</xdr:col>
      <xdr:colOff>546100</xdr:colOff>
      <xdr:row>8</xdr:row>
      <xdr:rowOff>12700</xdr:rowOff>
    </xdr:to>
    <xdr:sp>
      <xdr:nvSpPr>
        <xdr:cNvPr id="11" name="圆角矩形 10"/>
        <xdr:cNvSpPr/>
      </xdr:nvSpPr>
      <xdr:spPr>
        <a:xfrm>
          <a:off x="5099050" y="622300"/>
          <a:ext cx="1543050" cy="812800"/>
        </a:xfrm>
        <a:prstGeom prst="roundRect">
          <a:avLst>
            <a:gd name="adj" fmla="val 29948"/>
          </a:avLst>
        </a:prstGeom>
        <a:solidFill>
          <a:schemeClr val="tx2">
            <a:lumMod val="60000"/>
            <a:lumOff val="40000"/>
          </a:schemeClr>
        </a:solidFill>
        <a:ln>
          <a:solidFill>
            <a:schemeClr val="bg1"/>
          </a:solidFill>
        </a:ln>
        <a:effectLst>
          <a:outerShdw blurRad="152400" dist="50800" dir="5400000" algn="t" rotWithShape="0">
            <a:prstClr val="black">
              <a:alpha val="3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11</xdr:col>
      <xdr:colOff>12700</xdr:colOff>
      <xdr:row>3</xdr:row>
      <xdr:rowOff>88900</xdr:rowOff>
    </xdr:from>
    <xdr:to>
      <xdr:col>13</xdr:col>
      <xdr:colOff>336550</xdr:colOff>
      <xdr:row>8</xdr:row>
      <xdr:rowOff>12700</xdr:rowOff>
    </xdr:to>
    <xdr:sp>
      <xdr:nvSpPr>
        <xdr:cNvPr id="12" name="圆角矩形 11"/>
        <xdr:cNvSpPr/>
      </xdr:nvSpPr>
      <xdr:spPr>
        <a:xfrm>
          <a:off x="6718300" y="622300"/>
          <a:ext cx="1543050" cy="812800"/>
        </a:xfrm>
        <a:prstGeom prst="roundRect">
          <a:avLst>
            <a:gd name="adj" fmla="val 29948"/>
          </a:avLst>
        </a:prstGeom>
        <a:solidFill>
          <a:schemeClr val="tx2">
            <a:lumMod val="60000"/>
            <a:lumOff val="40000"/>
          </a:schemeClr>
        </a:solidFill>
        <a:ln>
          <a:solidFill>
            <a:schemeClr val="bg1"/>
          </a:solidFill>
        </a:ln>
        <a:effectLst>
          <a:outerShdw blurRad="152400" dist="50800" dir="5400000" algn="t" rotWithShape="0">
            <a:prstClr val="black">
              <a:alpha val="3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400050</xdr:colOff>
      <xdr:row>3</xdr:row>
      <xdr:rowOff>88900</xdr:rowOff>
    </xdr:from>
    <xdr:to>
      <xdr:col>16</xdr:col>
      <xdr:colOff>114300</xdr:colOff>
      <xdr:row>8</xdr:row>
      <xdr:rowOff>12700</xdr:rowOff>
    </xdr:to>
    <xdr:sp>
      <xdr:nvSpPr>
        <xdr:cNvPr id="13" name="圆角矩形 12"/>
        <xdr:cNvSpPr/>
      </xdr:nvSpPr>
      <xdr:spPr>
        <a:xfrm>
          <a:off x="8324850" y="622300"/>
          <a:ext cx="1543050" cy="812800"/>
        </a:xfrm>
        <a:prstGeom prst="roundRect">
          <a:avLst>
            <a:gd name="adj" fmla="val 29948"/>
          </a:avLst>
        </a:prstGeom>
        <a:solidFill>
          <a:schemeClr val="tx2">
            <a:lumMod val="60000"/>
            <a:lumOff val="40000"/>
          </a:schemeClr>
        </a:solidFill>
        <a:ln>
          <a:solidFill>
            <a:schemeClr val="bg1"/>
          </a:solidFill>
        </a:ln>
        <a:effectLst>
          <a:outerShdw blurRad="152400" dist="50800" dir="5400000" algn="t" rotWithShape="0">
            <a:prstClr val="black">
              <a:alpha val="3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xdr:col>
      <xdr:colOff>82550</xdr:colOff>
      <xdr:row>3</xdr:row>
      <xdr:rowOff>101600</xdr:rowOff>
    </xdr:from>
    <xdr:to>
      <xdr:col>5</xdr:col>
      <xdr:colOff>260350</xdr:colOff>
      <xdr:row>5</xdr:row>
      <xdr:rowOff>44450</xdr:rowOff>
    </xdr:to>
    <xdr:sp>
      <xdr:nvSpPr>
        <xdr:cNvPr id="14" name="文本框 13"/>
        <xdr:cNvSpPr txBox="1"/>
      </xdr:nvSpPr>
      <xdr:spPr>
        <a:xfrm>
          <a:off x="1911350" y="635000"/>
          <a:ext cx="139700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050" b="0" i="0" spc="100" baseline="0">
              <a:solidFill>
                <a:schemeClr val="bg1"/>
              </a:solidFill>
              <a:latin typeface="微软雅黑" panose="020B0503020204020204" pitchFamily="34" charset="-122"/>
              <a:ea typeface="微软雅黑" panose="020B0503020204020204" pitchFamily="34" charset="-122"/>
            </a:rPr>
            <a:t>销售总额 </a:t>
          </a:r>
          <a:r>
            <a:rPr lang="en-US" altLang="zh-CN" sz="1050" b="0" i="0" spc="100" baseline="0">
              <a:solidFill>
                <a:schemeClr val="bg1"/>
              </a:solidFill>
              <a:latin typeface="微软雅黑" panose="020B0503020204020204" pitchFamily="34" charset="-122"/>
              <a:ea typeface="微软雅黑" panose="020B0503020204020204" pitchFamily="34" charset="-122"/>
            </a:rPr>
            <a:t>(MXN)</a:t>
          </a:r>
          <a:endParaRPr lang="zh-CN" altLang="en-US" sz="1050" b="0" i="0" spc="100" baseline="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5</xdr:col>
      <xdr:colOff>482600</xdr:colOff>
      <xdr:row>3</xdr:row>
      <xdr:rowOff>101600</xdr:rowOff>
    </xdr:from>
    <xdr:to>
      <xdr:col>8</xdr:col>
      <xdr:colOff>114300</xdr:colOff>
      <xdr:row>5</xdr:row>
      <xdr:rowOff>44450</xdr:rowOff>
    </xdr:to>
    <xdr:sp>
      <xdr:nvSpPr>
        <xdr:cNvPr id="15" name="文本框 14"/>
        <xdr:cNvSpPr txBox="1"/>
      </xdr:nvSpPr>
      <xdr:spPr>
        <a:xfrm>
          <a:off x="3530600" y="635000"/>
          <a:ext cx="146050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050" b="0" i="0" spc="100" baseline="0">
              <a:solidFill>
                <a:schemeClr val="bg1"/>
              </a:solidFill>
              <a:latin typeface="微软雅黑" panose="020B0503020204020204" pitchFamily="34" charset="-122"/>
              <a:ea typeface="微软雅黑" panose="020B0503020204020204" pitchFamily="34" charset="-122"/>
            </a:rPr>
            <a:t>利润总额 </a:t>
          </a:r>
          <a:r>
            <a:rPr lang="en-US" altLang="zh-CN" sz="1050" b="0" i="0" spc="100" baseline="0">
              <a:solidFill>
                <a:schemeClr val="bg1"/>
              </a:solidFill>
              <a:latin typeface="微软雅黑" panose="020B0503020204020204" pitchFamily="34" charset="-122"/>
              <a:ea typeface="微软雅黑" panose="020B0503020204020204" pitchFamily="34" charset="-122"/>
            </a:rPr>
            <a:t>(MXN)</a:t>
          </a:r>
          <a:endParaRPr lang="zh-CN" altLang="en-US" sz="1050" b="0" i="0" spc="100" baseline="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8</xdr:col>
      <xdr:colOff>273050</xdr:colOff>
      <xdr:row>3</xdr:row>
      <xdr:rowOff>101600</xdr:rowOff>
    </xdr:from>
    <xdr:to>
      <xdr:col>9</xdr:col>
      <xdr:colOff>463550</xdr:colOff>
      <xdr:row>5</xdr:row>
      <xdr:rowOff>44450</xdr:rowOff>
    </xdr:to>
    <xdr:sp>
      <xdr:nvSpPr>
        <xdr:cNvPr id="16" name="文本框 15"/>
        <xdr:cNvSpPr txBox="1"/>
      </xdr:nvSpPr>
      <xdr:spPr>
        <a:xfrm>
          <a:off x="5149850" y="635000"/>
          <a:ext cx="80010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050" b="0" i="0" spc="100" baseline="0">
              <a:solidFill>
                <a:schemeClr val="bg1"/>
              </a:solidFill>
              <a:latin typeface="微软雅黑" panose="020B0503020204020204" pitchFamily="34" charset="-122"/>
              <a:ea typeface="微软雅黑" panose="020B0503020204020204" pitchFamily="34" charset="-122"/>
            </a:rPr>
            <a:t>利润率</a:t>
          </a:r>
          <a:endParaRPr lang="zh-CN" altLang="en-US" sz="1050" b="0" i="0" spc="100" baseline="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11</xdr:col>
      <xdr:colOff>63500</xdr:colOff>
      <xdr:row>3</xdr:row>
      <xdr:rowOff>101600</xdr:rowOff>
    </xdr:from>
    <xdr:to>
      <xdr:col>12</xdr:col>
      <xdr:colOff>254000</xdr:colOff>
      <xdr:row>5</xdr:row>
      <xdr:rowOff>44450</xdr:rowOff>
    </xdr:to>
    <xdr:sp>
      <xdr:nvSpPr>
        <xdr:cNvPr id="17" name="文本框 16"/>
        <xdr:cNvSpPr txBox="1"/>
      </xdr:nvSpPr>
      <xdr:spPr>
        <a:xfrm>
          <a:off x="6769100" y="635000"/>
          <a:ext cx="80010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050" b="0" i="0" spc="100" baseline="0">
              <a:solidFill>
                <a:schemeClr val="bg1"/>
              </a:solidFill>
              <a:latin typeface="微软雅黑" panose="020B0503020204020204" pitchFamily="34" charset="-122"/>
              <a:ea typeface="微软雅黑" panose="020B0503020204020204" pitchFamily="34" charset="-122"/>
            </a:rPr>
            <a:t>订单量</a:t>
          </a:r>
          <a:endParaRPr lang="zh-CN" altLang="en-US" sz="1050" b="0" i="0" spc="100" baseline="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13</xdr:col>
      <xdr:colOff>463550</xdr:colOff>
      <xdr:row>3</xdr:row>
      <xdr:rowOff>101600</xdr:rowOff>
    </xdr:from>
    <xdr:to>
      <xdr:col>15</xdr:col>
      <xdr:colOff>501650</xdr:colOff>
      <xdr:row>5</xdr:row>
      <xdr:rowOff>44450</xdr:rowOff>
    </xdr:to>
    <xdr:sp>
      <xdr:nvSpPr>
        <xdr:cNvPr id="18" name="文本框 17"/>
        <xdr:cNvSpPr txBox="1"/>
      </xdr:nvSpPr>
      <xdr:spPr>
        <a:xfrm>
          <a:off x="8388350" y="635000"/>
          <a:ext cx="125730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050" b="0" i="0" spc="100" baseline="0">
              <a:solidFill>
                <a:schemeClr val="bg1"/>
              </a:solidFill>
              <a:latin typeface="微软雅黑" panose="020B0503020204020204" pitchFamily="34" charset="-122"/>
              <a:ea typeface="微软雅黑" panose="020B0503020204020204" pitchFamily="34" charset="-122"/>
            </a:rPr>
            <a:t>客单价 </a:t>
          </a:r>
          <a:r>
            <a:rPr lang="en-US" altLang="zh-CN" sz="1050" b="0" i="0" spc="100" baseline="0">
              <a:solidFill>
                <a:schemeClr val="bg1"/>
              </a:solidFill>
              <a:latin typeface="微软雅黑" panose="020B0503020204020204" pitchFamily="34" charset="-122"/>
              <a:ea typeface="微软雅黑" panose="020B0503020204020204" pitchFamily="34" charset="-122"/>
            </a:rPr>
            <a:t>(MXN)</a:t>
          </a:r>
          <a:endParaRPr lang="zh-CN" altLang="en-US" sz="1050" b="0" i="0" spc="100" baseline="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xdr:col>
      <xdr:colOff>533400</xdr:colOff>
      <xdr:row>4</xdr:row>
      <xdr:rowOff>139700</xdr:rowOff>
    </xdr:from>
    <xdr:to>
      <xdr:col>6</xdr:col>
      <xdr:colOff>425450</xdr:colOff>
      <xdr:row>7</xdr:row>
      <xdr:rowOff>114300</xdr:rowOff>
    </xdr:to>
    <xdr:sp textlink="透视表!K4">
      <xdr:nvSpPr>
        <xdr:cNvPr id="20" name="文本框 3"/>
        <xdr:cNvSpPr txBox="1"/>
      </xdr:nvSpPr>
      <xdr:spPr>
        <a:xfrm>
          <a:off x="1143000" y="850900"/>
          <a:ext cx="294005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ABB782-4C30-4E76-826C-F6D1F4F754C3}" type="TxLink">
            <a:rPr lang="en-US" altLang="en-US" sz="1800" b="1" i="0" u="none" strike="noStrike" cap="none" spc="0" baseline="0">
              <a:ln w="0"/>
              <a:solidFill>
                <a:srgbClr val="090060"/>
              </a:solidFill>
              <a:effectLst>
                <a:outerShdw blurRad="38100" dist="19050" dir="2700000" algn="tl" rotWithShape="0">
                  <a:schemeClr val="dk1">
                    <a:alpha val="40000"/>
                  </a:schemeClr>
                </a:outerShdw>
              </a:effectLst>
              <a:latin typeface="微软雅黑" panose="020B0503020204020204" pitchFamily="34" charset="-122"/>
              <a:ea typeface="微软雅黑" panose="020B0503020204020204" pitchFamily="34" charset="-122"/>
            </a:rPr>
          </a:fld>
          <a:endParaRPr lang="zh-CN" altLang="en-US" sz="3200" b="1" cap="none" spc="0" baseline="0">
            <a:ln w="0"/>
            <a:solidFill>
              <a:srgbClr val="090060"/>
            </a:solidFill>
            <a:effectLst>
              <a:outerShdw blurRad="38100" dist="19050" dir="2700000" algn="tl" rotWithShape="0">
                <a:schemeClr val="dk1">
                  <a:alpha val="40000"/>
                </a:schemeClr>
              </a:outerShdw>
            </a:effectLst>
            <a:latin typeface="微软雅黑" panose="020B0503020204020204" pitchFamily="34" charset="-122"/>
            <a:ea typeface="微软雅黑" panose="020B0503020204020204" pitchFamily="34" charset="-122"/>
          </a:endParaRPr>
        </a:p>
      </xdr:txBody>
    </xdr:sp>
    <xdr:clientData/>
  </xdr:twoCellAnchor>
  <xdr:twoCellAnchor>
    <xdr:from>
      <xdr:col>4</xdr:col>
      <xdr:colOff>323850</xdr:colOff>
      <xdr:row>4</xdr:row>
      <xdr:rowOff>139700</xdr:rowOff>
    </xdr:from>
    <xdr:to>
      <xdr:col>9</xdr:col>
      <xdr:colOff>215900</xdr:colOff>
      <xdr:row>7</xdr:row>
      <xdr:rowOff>114300</xdr:rowOff>
    </xdr:to>
    <xdr:sp textlink="透视表!K5">
      <xdr:nvSpPr>
        <xdr:cNvPr id="22" name="文本框 3"/>
        <xdr:cNvSpPr txBox="1"/>
      </xdr:nvSpPr>
      <xdr:spPr>
        <a:xfrm>
          <a:off x="2762250" y="850900"/>
          <a:ext cx="294005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0283FA-B04F-4E37-B202-72BB5A4FCBE8}" type="TxLink">
            <a:rPr lang="en-US" altLang="en-US" sz="1800" b="1" i="0" u="none" strike="noStrike" cap="none" spc="0" baseline="0">
              <a:ln w="0"/>
              <a:solidFill>
                <a:srgbClr val="090060"/>
              </a:solidFill>
              <a:effectLst>
                <a:outerShdw blurRad="38100" dist="19050" dir="2700000" algn="tl" rotWithShape="0">
                  <a:schemeClr val="dk1">
                    <a:alpha val="40000"/>
                  </a:schemeClr>
                </a:outerShdw>
              </a:effectLst>
              <a:latin typeface="微软雅黑" panose="020B0503020204020204" pitchFamily="34" charset="-122"/>
              <a:ea typeface="微软雅黑" panose="020B0503020204020204" pitchFamily="34" charset="-122"/>
              <a:cs typeface="+mn-cs"/>
            </a:rPr>
          </a:fld>
          <a:endParaRPr lang="zh-CN" altLang="en-US" sz="1800" b="1" i="0" u="none" strike="noStrike" cap="none" spc="0" baseline="0">
            <a:ln w="0"/>
            <a:solidFill>
              <a:srgbClr val="090060"/>
            </a:solidFill>
            <a:effectLst>
              <a:outerShdw blurRad="38100" dist="19050" dir="2700000" algn="tl" rotWithShape="0">
                <a:schemeClr val="dk1">
                  <a:alpha val="40000"/>
                </a:schemeClr>
              </a:outerShdw>
            </a:effectLst>
            <a:latin typeface="微软雅黑" panose="020B0503020204020204" pitchFamily="34" charset="-122"/>
            <a:ea typeface="微软雅黑" panose="020B0503020204020204" pitchFamily="34" charset="-122"/>
            <a:cs typeface="+mn-cs"/>
          </a:endParaRPr>
        </a:p>
      </xdr:txBody>
    </xdr:sp>
    <xdr:clientData/>
  </xdr:twoCellAnchor>
  <xdr:twoCellAnchor>
    <xdr:from>
      <xdr:col>7</xdr:col>
      <xdr:colOff>114300</xdr:colOff>
      <xdr:row>4</xdr:row>
      <xdr:rowOff>139700</xdr:rowOff>
    </xdr:from>
    <xdr:to>
      <xdr:col>12</xdr:col>
      <xdr:colOff>6350</xdr:colOff>
      <xdr:row>7</xdr:row>
      <xdr:rowOff>114300</xdr:rowOff>
    </xdr:to>
    <xdr:sp textlink="透视表!K6">
      <xdr:nvSpPr>
        <xdr:cNvPr id="23" name="文本框 3"/>
        <xdr:cNvSpPr txBox="1"/>
      </xdr:nvSpPr>
      <xdr:spPr>
        <a:xfrm>
          <a:off x="4381500" y="850900"/>
          <a:ext cx="294005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C006C81-C1F6-45A7-B17A-F0CFB8484794}" type="TxLink">
            <a:rPr lang="en-US" altLang="en-US" sz="1800" b="1" i="0" u="none" strike="noStrike" cap="none" spc="0" baseline="0">
              <a:ln w="0"/>
              <a:solidFill>
                <a:srgbClr val="090060"/>
              </a:solidFill>
              <a:effectLst>
                <a:outerShdw blurRad="38100" dist="19050" dir="2700000" algn="tl" rotWithShape="0">
                  <a:schemeClr val="dk1">
                    <a:alpha val="40000"/>
                  </a:schemeClr>
                </a:outerShdw>
              </a:effectLst>
              <a:latin typeface="微软雅黑" panose="020B0503020204020204" pitchFamily="34" charset="-122"/>
              <a:ea typeface="微软雅黑" panose="020B0503020204020204" pitchFamily="34" charset="-122"/>
              <a:cs typeface="+mn-cs"/>
            </a:rPr>
          </a:fld>
          <a:endParaRPr lang="zh-CN" altLang="en-US" sz="1800" b="1" i="0" u="none" strike="noStrike" cap="none" spc="0" baseline="0">
            <a:ln w="0"/>
            <a:solidFill>
              <a:srgbClr val="090060"/>
            </a:solidFill>
            <a:effectLst>
              <a:outerShdw blurRad="38100" dist="19050" dir="2700000" algn="tl" rotWithShape="0">
                <a:schemeClr val="dk1">
                  <a:alpha val="40000"/>
                </a:schemeClr>
              </a:outerShdw>
            </a:effectLst>
            <a:latin typeface="微软雅黑" panose="020B0503020204020204" pitchFamily="34" charset="-122"/>
            <a:ea typeface="微软雅黑" panose="020B0503020204020204" pitchFamily="34" charset="-122"/>
            <a:cs typeface="+mn-cs"/>
          </a:endParaRPr>
        </a:p>
      </xdr:txBody>
    </xdr:sp>
    <xdr:clientData/>
  </xdr:twoCellAnchor>
  <xdr:twoCellAnchor>
    <xdr:from>
      <xdr:col>9</xdr:col>
      <xdr:colOff>514350</xdr:colOff>
      <xdr:row>4</xdr:row>
      <xdr:rowOff>139700</xdr:rowOff>
    </xdr:from>
    <xdr:to>
      <xdr:col>14</xdr:col>
      <xdr:colOff>406400</xdr:colOff>
      <xdr:row>7</xdr:row>
      <xdr:rowOff>114300</xdr:rowOff>
    </xdr:to>
    <xdr:sp textlink="透视表!K7">
      <xdr:nvSpPr>
        <xdr:cNvPr id="24" name="文本框 3"/>
        <xdr:cNvSpPr txBox="1"/>
      </xdr:nvSpPr>
      <xdr:spPr>
        <a:xfrm>
          <a:off x="6000750" y="850900"/>
          <a:ext cx="294005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B3CC82A-6E01-4C7D-9A44-194C2F594ED0}" type="TxLink">
            <a:rPr lang="en-US" altLang="en-US" sz="1800" b="1" i="0" u="none" strike="noStrike" cap="none" spc="0" baseline="0">
              <a:ln w="0"/>
              <a:solidFill>
                <a:srgbClr val="090060"/>
              </a:solidFill>
              <a:effectLst>
                <a:outerShdw blurRad="38100" dist="19050" dir="2700000" algn="tl" rotWithShape="0">
                  <a:schemeClr val="dk1">
                    <a:alpha val="40000"/>
                  </a:schemeClr>
                </a:outerShdw>
              </a:effectLst>
              <a:latin typeface="微软雅黑" panose="020B0503020204020204" pitchFamily="34" charset="-122"/>
              <a:ea typeface="微软雅黑" panose="020B0503020204020204" pitchFamily="34" charset="-122"/>
              <a:cs typeface="+mn-cs"/>
            </a:rPr>
          </a:fld>
          <a:endParaRPr lang="zh-CN" altLang="en-US" sz="1800" b="1" i="0" u="none" strike="noStrike" cap="none" spc="0" baseline="0">
            <a:ln w="0"/>
            <a:solidFill>
              <a:srgbClr val="090060"/>
            </a:solidFill>
            <a:effectLst>
              <a:outerShdw blurRad="38100" dist="19050" dir="2700000" algn="tl" rotWithShape="0">
                <a:schemeClr val="dk1">
                  <a:alpha val="40000"/>
                </a:schemeClr>
              </a:outerShdw>
            </a:effectLst>
            <a:latin typeface="微软雅黑" panose="020B0503020204020204" pitchFamily="34" charset="-122"/>
            <a:ea typeface="微软雅黑" panose="020B0503020204020204" pitchFamily="34" charset="-122"/>
            <a:cs typeface="+mn-cs"/>
          </a:endParaRPr>
        </a:p>
      </xdr:txBody>
    </xdr:sp>
    <xdr:clientData/>
  </xdr:twoCellAnchor>
  <xdr:twoCellAnchor>
    <xdr:from>
      <xdr:col>12</xdr:col>
      <xdr:colOff>304800</xdr:colOff>
      <xdr:row>4</xdr:row>
      <xdr:rowOff>139700</xdr:rowOff>
    </xdr:from>
    <xdr:to>
      <xdr:col>17</xdr:col>
      <xdr:colOff>196850</xdr:colOff>
      <xdr:row>7</xdr:row>
      <xdr:rowOff>114300</xdr:rowOff>
    </xdr:to>
    <xdr:sp textlink="透视表!K8">
      <xdr:nvSpPr>
        <xdr:cNvPr id="25" name="文本框 3"/>
        <xdr:cNvSpPr txBox="1"/>
      </xdr:nvSpPr>
      <xdr:spPr>
        <a:xfrm>
          <a:off x="7620000" y="850900"/>
          <a:ext cx="294005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E1318D-D912-412F-AA38-29B45F4072CF}" type="TxLink">
            <a:rPr lang="en-US" altLang="en-US" sz="1800" b="1" i="0" u="none" strike="noStrike" cap="none" spc="0" baseline="0">
              <a:ln w="0"/>
              <a:solidFill>
                <a:srgbClr val="090060"/>
              </a:solidFill>
              <a:effectLst>
                <a:outerShdw blurRad="38100" dist="19050" dir="2700000" algn="tl" rotWithShape="0">
                  <a:schemeClr val="dk1">
                    <a:alpha val="40000"/>
                  </a:schemeClr>
                </a:outerShdw>
              </a:effectLst>
              <a:latin typeface="微软雅黑" panose="020B0503020204020204" pitchFamily="34" charset="-122"/>
              <a:ea typeface="微软雅黑" panose="020B0503020204020204" pitchFamily="34" charset="-122"/>
              <a:cs typeface="+mn-cs"/>
            </a:rPr>
          </a:fld>
          <a:endParaRPr lang="zh-CN" altLang="en-US" sz="1800" b="1" i="0" u="none" strike="noStrike" cap="none" spc="0" baseline="0">
            <a:ln w="0"/>
            <a:solidFill>
              <a:srgbClr val="090060"/>
            </a:solidFill>
            <a:effectLst>
              <a:outerShdw blurRad="38100" dist="19050" dir="2700000" algn="tl" rotWithShape="0">
                <a:schemeClr val="dk1">
                  <a:alpha val="40000"/>
                </a:schemeClr>
              </a:outerShdw>
            </a:effectLst>
            <a:latin typeface="微软雅黑" panose="020B0503020204020204" pitchFamily="34" charset="-122"/>
            <a:ea typeface="微软雅黑" panose="020B0503020204020204" pitchFamily="34" charset="-122"/>
            <a:cs typeface="+mn-cs"/>
          </a:endParaRPr>
        </a:p>
      </xdr:txBody>
    </xdr:sp>
    <xdr:clientData/>
  </xdr:twoCellAnchor>
  <xdr:twoCellAnchor>
    <xdr:from>
      <xdr:col>3</xdr:col>
      <xdr:colOff>71783</xdr:colOff>
      <xdr:row>9</xdr:row>
      <xdr:rowOff>0</xdr:rowOff>
    </xdr:from>
    <xdr:to>
      <xdr:col>9</xdr:col>
      <xdr:colOff>418824</xdr:colOff>
      <xdr:row>22</xdr:row>
      <xdr:rowOff>57149</xdr:rowOff>
    </xdr:to>
    <xdr:graphicFrame>
      <xdr:nvGraphicFramePr>
        <xdr:cNvPr id="26" name="图表 25"/>
        <xdr:cNvGraphicFramePr/>
      </xdr:nvGraphicFramePr>
      <xdr:xfrm>
        <a:off x="1900555" y="1600200"/>
        <a:ext cx="4004310" cy="238061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541130</xdr:colOff>
      <xdr:row>23</xdr:row>
      <xdr:rowOff>0</xdr:rowOff>
    </xdr:from>
    <xdr:to>
      <xdr:col>16</xdr:col>
      <xdr:colOff>0</xdr:colOff>
      <xdr:row>44</xdr:row>
      <xdr:rowOff>153090</xdr:rowOff>
    </xdr:to>
    <xdr:graphicFrame>
      <xdr:nvGraphicFramePr>
        <xdr:cNvPr id="28" name="图表 27"/>
        <xdr:cNvGraphicFramePr/>
      </xdr:nvGraphicFramePr>
      <xdr:xfrm>
        <a:off x="1760220" y="4102100"/>
        <a:ext cx="7993380" cy="3886835"/>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502478</xdr:colOff>
      <xdr:row>9</xdr:row>
      <xdr:rowOff>0</xdr:rowOff>
    </xdr:from>
    <xdr:to>
      <xdr:col>16</xdr:col>
      <xdr:colOff>0</xdr:colOff>
      <xdr:row>22</xdr:row>
      <xdr:rowOff>0</xdr:rowOff>
    </xdr:to>
    <xdr:graphicFrame>
      <xdr:nvGraphicFramePr>
        <xdr:cNvPr id="29" name="图表 28"/>
        <xdr:cNvGraphicFramePr/>
      </xdr:nvGraphicFramePr>
      <xdr:xfrm>
        <a:off x="5988685" y="1600200"/>
        <a:ext cx="3764915" cy="232410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createdVersion="4" refreshedVersion="4" minRefreshableVersion="3" refreshedDate="45306.0078722222" refreshedBy="L-xxy" recordCount="211">
  <cacheSource type="worksheet">
    <worksheetSource ref="A1:O212" sheet="数据"/>
  </cacheSource>
  <cacheFields count="20">
    <cacheField name="计数（平台订单号）" numFmtId="0"/>
    <cacheField name="平台订单号" numFmtId="0"/>
    <cacheField name="订单号" numFmtId="0">
      <sharedItems count="149">
        <s v="796137518"/>
        <s v="796218594"/>
        <s v="796218595"/>
        <s v="796218596"/>
        <s v="796347665"/>
        <s v="796353560"/>
        <s v="796403553"/>
        <s v="796433597"/>
        <s v="796450187"/>
        <s v="796477623"/>
        <s v="796635452"/>
        <s v="796680362"/>
        <s v="796682503"/>
        <s v="796759699"/>
        <s v="796764667"/>
        <s v="796769205"/>
        <s v="796807680"/>
        <s v="796813898"/>
        <s v="796851029"/>
        <s v="796860844"/>
        <s v="796874120"/>
        <s v="796886829"/>
        <s v="796915227"/>
        <s v="796917215"/>
        <s v="796921859"/>
        <s v="796942876"/>
        <s v="796945286"/>
        <s v="796950368"/>
        <s v="796950369"/>
        <s v="796955044"/>
        <s v="796956769"/>
        <s v="796958701"/>
        <s v="796958702"/>
        <s v="796967265"/>
        <s v="796984524"/>
        <s v="797006672"/>
        <s v="797008320"/>
        <s v="797009844"/>
        <s v="797143586"/>
        <s v="797198171"/>
        <s v="797201164"/>
        <s v="797212521"/>
        <s v="797284939"/>
        <s v="797305216"/>
        <s v="797308326"/>
        <s v="797337707"/>
        <s v="797348037"/>
        <s v="797378199"/>
        <s v="797394604"/>
        <s v="797459340"/>
        <s v="797462569"/>
        <s v="797557177"/>
        <s v="797564330"/>
        <s v="797664956"/>
        <s v="797676647"/>
        <s v="797780529"/>
        <s v="797780530"/>
        <s v="797783595"/>
        <s v="797866817"/>
        <s v="797866818"/>
        <s v="797870908"/>
        <s v="798005289"/>
        <s v="798015131"/>
        <s v="798046282"/>
        <s v="798083566"/>
        <s v="798091351"/>
        <s v="798095514"/>
        <s v="798097282"/>
        <s v="798105836"/>
        <s v="798146886"/>
        <s v="798146887"/>
        <s v="798163685"/>
        <s v="798169631"/>
        <s v="798176388"/>
        <s v="798180731"/>
        <s v="798204003"/>
        <s v="798207548"/>
        <s v="798208888"/>
        <s v="798264890"/>
        <s v="798264891"/>
        <s v="798264892"/>
        <s v="798264893"/>
        <s v="798264894"/>
        <s v="798264895"/>
        <s v="798264896"/>
        <s v="798264897"/>
        <s v="798264898"/>
        <s v="798269415"/>
        <s v="798276727"/>
        <s v="798282110"/>
        <s v="798294225"/>
        <s v="798297374"/>
        <s v="798302671"/>
        <s v="798314271"/>
        <s v="798331296"/>
        <s v="798341268"/>
        <s v="798350075"/>
        <s v="798351227"/>
        <s v="798355107"/>
        <s v="798359919"/>
        <s v="798376317"/>
        <s v="798381011"/>
        <s v="798384257"/>
        <s v="798387024"/>
        <s v="798398378"/>
        <s v="798399411"/>
        <s v="798412325"/>
        <s v="798420228"/>
        <s v="798428089"/>
        <s v="798432713"/>
        <s v="798439082"/>
        <s v="798443432"/>
        <s v="798444337"/>
        <s v="798458360"/>
        <s v="798467231"/>
        <s v="798479048"/>
        <s v="798485080"/>
        <s v="798494502"/>
        <s v="798495450"/>
        <s v="798520619"/>
        <s v="798523312"/>
        <s v="798536529"/>
        <s v="798547308"/>
        <s v="798549958"/>
        <s v="798549959"/>
        <s v="798560408"/>
        <s v="798574007"/>
        <s v="798580571"/>
        <s v="798601435"/>
        <s v="798613996"/>
        <s v="798615140"/>
        <s v="798618611"/>
        <s v="798619960"/>
        <s v="798637274"/>
        <s v="798659428"/>
        <s v="798667135"/>
        <s v="798682944"/>
        <s v="798687583"/>
        <s v="798701189"/>
        <s v="798722040"/>
        <s v="798726386"/>
        <s v="798729120"/>
        <s v="798734129"/>
        <s v="798752384"/>
        <s v="798780589"/>
        <s v="798784660"/>
        <s v="798787841"/>
        <s v="798804798"/>
        <s v="798819330"/>
      </sharedItems>
    </cacheField>
    <cacheField name="年" numFmtId="0">
      <sharedItems containsSemiMixedTypes="0" containsString="0" containsNumber="1" containsInteger="1" minValue="2023" maxValue="2024" count="2">
        <n v="2023"/>
        <n v="2024"/>
      </sharedItems>
    </cacheField>
    <cacheField name="月" numFmtId="0">
      <sharedItems containsSemiMixedTypes="0" containsString="0" containsNumber="1" containsInteger="1" minValue="1" maxValue="12" count="4">
        <n v="10"/>
        <n v="11"/>
        <n v="12"/>
        <n v="1"/>
      </sharedItems>
    </cacheField>
    <cacheField name="日" numFmtId="0"/>
    <cacheField name="产品分类" numFmtId="0">
      <sharedItems count="42">
        <s v="Women's Sweater Coat 毛衣外套3"/>
        <s v="Men's Sweater Coat 毛衣外套"/>
        <s v="Women's Hoodies &amp; Sweatshirts 女士连帽卫衣1"/>
        <s v="Women's Pullover Sweater 套头毛衣1"/>
        <s v="Women's Pullover Sweater 套头毛衣3"/>
        <s v="Men's Hoodies &amp; Sweatshirts 男士连帽卫衣"/>
        <s v="Women's Parkas 女士棉服1"/>
        <s v="Women's Turtleneck Sweater 高领毛衣1"/>
        <s v="Women's Sweater Coat 毛衣外套2"/>
        <s v="Women's Fleece Jackets &amp; Coats 女士抓绒外套2"/>
        <s v="Women's Fleece Jackets &amp; Coats 女士抓绒外套1"/>
        <s v="Men's Parkas 男士棉服"/>
        <s v="Women's Fleece Jackets &amp; Coats 女士抓绒外套3"/>
        <s v="Women's Blazers &amp; Suit Jackets 女士西装外套1"/>
        <s v="Women's Hoodless Sweatshirt 女士无帽卫衣1"/>
        <s v="Women's Parkas 女士棉服2"/>
        <s v="Desktop Ornament 桌面摆件"/>
        <s v="Bra 文胸"/>
        <s v="Women's Parkas 女士棉服3"/>
        <s v="Women's Hoodies &amp; Sweatshirts 女士连帽卫衣3"/>
        <s v="Women's Legging 女士打底裤"/>
        <s v="Hangs 挂件"/>
        <s v="Men's Hoodless Sweatshirt 男士无帽卫衣"/>
        <s v="Women Nightgowns &amp; Sleepshirts 女士睡裙"/>
        <s v="Women's Leather &amp; Faux Leather Jackets &amp; Coats 女士皮夹克"/>
        <s v="Women's Casual Dress 女士休闲裙1"/>
        <s v="Women's Casual Jackets 女士休闲夹克1"/>
        <s v="Thermal Underwear Bottoms 保暖裤/秋裤"/>
        <s v="Women's Pullover Sweater 套头毛衣2"/>
        <s v="Bra &amp; Brief Sets 内衣套装"/>
        <s v="Girls Outfits&amp;Set 女童套装"/>
        <s v="Plus Size Coat 大码外套1"/>
        <s v="Intimates 情趣内衣"/>
        <s v="Women's Formal Dress 女士礼服裙1"/>
        <s v="Boys Outfits&amp;Set 男童套装"/>
        <s v="Women's Outerwear Vests 女士外套背心3"/>
        <s v="Women's Casual Pants 女士休闲裤"/>
        <s v="Women's Panties 女士内裤"/>
        <s v="Boys Coat&amp;jacket 男童外套"/>
        <s v="Women's Casual Jackets 女士休闲夹克2"/>
        <s v="Women's Cardigan 女士开衫3"/>
        <s v="Swim Pants 泳裤"/>
      </sharedItems>
    </cacheField>
    <cacheField name="SKU" numFmtId="0">
      <sharedItems count="162">
        <s v="WES210828101"/>
        <s v="CMG220806017"/>
        <s v="YQX201105486"/>
        <s v="XTT221026005"/>
        <s v="JQQ220827006"/>
        <s v="ZZS221021014"/>
        <s v="ALR230818011"/>
        <s v="WJY220912029"/>
        <s v="YLL220818007"/>
        <s v="YLL220818008"/>
        <s v="INL221117005"/>
        <s v="YLC210811313"/>
        <s v="WJY220714002"/>
        <s v="SFW71016311D"/>
        <s v="YQX201110482"/>
        <s v="MKX221117018"/>
        <s v="YLL220711004"/>
        <s v="CMG220919011"/>
        <s v="AWL230821007"/>
        <s v="CXS210907925"/>
        <s v="SFW220702006"/>
        <s v="CJN230923001"/>
        <s v="YYD230920001"/>
        <s v="ZFH230817002"/>
        <s v="XTT220919015"/>
        <s v="JUN220905005"/>
        <s v="FZQ230725007"/>
        <s v="YAY91021372B"/>
        <s v="BYL230904004"/>
        <s v="MJJ210824293"/>
        <s v="LLP201015146"/>
        <s v="HHQ210929001"/>
        <s v="XTT220919007"/>
        <s v="JUN221012005"/>
        <s v="DMJ231012004"/>
        <s v="HJA200924692"/>
        <s v="ZYT200928494"/>
        <s v="CLM201127285"/>
        <s v="ZTY230908003"/>
        <s v="HKX210821026"/>
        <s v="BYL230830011"/>
        <s v="WJY210818101"/>
        <s v="CCJ210901724"/>
        <s v="ZXQ220629001"/>
        <s v="DMJ231106009"/>
        <s v="ZAX221129002"/>
        <s v="AYK230714018"/>
        <s v="SFW210906312"/>
        <s v="CWA210830042"/>
        <s v="CWA210825045"/>
        <s v="PTW210915444"/>
        <s v="LQR230817004"/>
        <s v="LQR230919001"/>
        <s v="WYZ80910761"/>
        <s v="FMF221020060"/>
        <s v="ZYT201130482"/>
        <s v="CWA220906002"/>
        <s v="YYD231019014"/>
        <s v="ZTY220913006"/>
        <s v="ZIH211108111"/>
        <s v="CMG220806006"/>
        <s v="ZTY221019008"/>
        <s v="WZH210928345"/>
        <s v="SFW230623005"/>
        <s v="JUN220816003"/>
        <s v="SFW221203012"/>
        <s v="CMG220806009"/>
        <s v="TXS230323010"/>
        <s v="CMG211023252"/>
        <s v="CJN211012321"/>
        <s v="FJY230928003"/>
        <s v="MAC81231212B"/>
        <s v="SFW220928007"/>
        <s v="WCH221107002"/>
        <s v="SFW221029014"/>
        <s v="PHF230926007"/>
        <s v="FJY230727012"/>
        <s v="GYZ230719026"/>
        <s v="XMX231027005"/>
        <s v="LSI220113944"/>
        <s v="LXT230105001"/>
        <s v="AWY230801004"/>
        <s v="SFW71016311L"/>
        <s v="FBE230907001"/>
        <s v="INL221101006"/>
        <s v="OWY231107005"/>
        <s v="FZW220926004"/>
        <s v="XXY221207006"/>
        <s v="JUA230605005"/>
        <s v="GYZ230814011"/>
        <s v="LPE220804006"/>
        <s v="WJX230905001"/>
        <s v="LQR230911002"/>
        <s v="CWA210825044"/>
        <s v="TXS230221008"/>
        <s v="WUY220926004"/>
        <s v="WES220107111"/>
        <s v="FZW220928003"/>
        <s v="ZWL231025008"/>
        <s v="AWL230812003"/>
        <s v="AWJ230807009"/>
        <s v="SPX221102013"/>
        <s v="ZFH210803877"/>
        <s v="YYD230729004"/>
        <s v="LQR231010008"/>
        <s v="JMW220914010"/>
        <s v="HCJ230331001"/>
        <s v="LSI211122946"/>
        <s v="ZTY221019006"/>
        <s v="HHQ220825001"/>
        <s v="WMQ230719001"/>
        <s v="FBE230815003"/>
        <s v="FZQ230818020"/>
        <s v="CMG210812254"/>
        <s v="LWH211011205"/>
        <s v="YHP230421001"/>
        <s v="LJL80409142W"/>
        <s v="LSI220419953"/>
        <s v="XTY220727002"/>
        <s v="AWJ231009012"/>
        <s v="ZCZ231012018"/>
        <s v="LZI220111904"/>
        <s v="YLL220713004"/>
        <s v="FXP220906006"/>
        <s v="ZXQ220728001"/>
        <s v="CJQ230711004"/>
        <s v="JUN221116010"/>
        <s v="HYM231102003"/>
        <s v="QXH81031084L"/>
        <s v="ASY230817003"/>
        <s v="LHL201215883"/>
        <s v="YHP230412013"/>
        <s v="LJL80409142R"/>
        <s v="ALI230224001"/>
        <s v="ZZS210802742"/>
        <s v="LNP220914003"/>
        <s v="MJJ221123003"/>
        <s v="YYD230718017"/>
        <s v="AYT230707019"/>
        <s v="SFW220702002"/>
        <s v="SFW70918312P"/>
        <s v="SFW70918312B"/>
        <s v="CQY210811581"/>
        <s v="MGG220822002"/>
        <s v="AZS230905010"/>
        <s v="ALI221223017"/>
        <s v="LXT211009135"/>
        <s v="FZW221027001"/>
        <s v="WJY211018103"/>
        <s v="TXS230410008"/>
        <s v="WUY230404015"/>
        <s v="SFW211011312"/>
        <s v="HKX210810027"/>
        <s v="SFW220504006"/>
        <s v="SFW201213312"/>
        <s v="ZMY220527003"/>
        <s v="LKM201214384"/>
        <s v="WZZ80721064M"/>
        <s v="MKX231023006"/>
        <s v="WJY221223015"/>
        <s v="LLQ220614006"/>
        <s v="LBB230806009"/>
      </sharedItems>
    </cacheField>
    <cacheField name="订单总金额" numFmtId="0"/>
    <cacheField name="出售价格" numFmtId="0"/>
    <cacheField name="商品平台运费" numFmtId="0"/>
    <cacheField name="利润" numFmtId="0"/>
    <cacheField name="人民币汇率" numFmtId="0"/>
    <cacheField name="订单利润额" numFmtId="0"/>
    <cacheField name="订单状态" numFmtId="0">
      <sharedItems count="7">
        <s v="已发货"/>
        <s v="已取消"/>
        <s v="作废订单"/>
        <s v="系统备份"/>
        <s v="缺货未发"/>
        <s v="多品缺货"/>
        <s v="多仓库-订单缺货"/>
      </sharedItems>
    </cacheField>
    <cacheField name="销售额" numFmtId="0" formula="订单总金额" databaseField="0"/>
    <cacheField name="利润率1" numFmtId="0" formula="订单利润额/出售价格" databaseField="0"/>
    <cacheField name="订单量1" numFmtId="0" formula="'计数（平台订单号）'" databaseField="0"/>
    <cacheField name="客单价1" numFmtId="0" formula="销售额/订单量1" databaseField="0"/>
    <cacheField name="产品利润率1" numFmtId="0" formula="订单利润额/出售价格"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11">
  <r>
    <n v="1"/>
    <n v="863236301356"/>
    <x v="0"/>
    <x v="0"/>
    <x v="0"/>
    <n v="24"/>
    <x v="0"/>
    <x v="0"/>
    <n v="548"/>
    <n v="548"/>
    <n v="0"/>
    <n v="52.48"/>
    <n v="0.396939"/>
    <n v="132.21175042009"/>
    <x v="0"/>
  </r>
  <r>
    <n v="1"/>
    <s v="P116587187"/>
    <x v="1"/>
    <x v="0"/>
    <x v="1"/>
    <n v="1"/>
    <x v="1"/>
    <x v="1"/>
    <n v="711"/>
    <n v="696"/>
    <n v="15"/>
    <n v="71.63"/>
    <n v="0.396939"/>
    <n v="180.455939073762"/>
    <x v="0"/>
  </r>
  <r>
    <n v="1"/>
    <s v="P116583982"/>
    <x v="2"/>
    <x v="0"/>
    <x v="1"/>
    <n v="1"/>
    <x v="2"/>
    <x v="2"/>
    <n v="997"/>
    <n v="475"/>
    <n v="15"/>
    <n v="50.37"/>
    <n v="0.396939"/>
    <n v="126.896072192453"/>
    <x v="0"/>
  </r>
  <r>
    <n v="0"/>
    <m/>
    <x v="2"/>
    <x v="0"/>
    <x v="1"/>
    <n v="1"/>
    <x v="2"/>
    <x v="2"/>
    <m/>
    <n v="492"/>
    <n v="15"/>
    <n v="51.05"/>
    <n v="0.396939"/>
    <n v="128.609181763445"/>
    <x v="0"/>
  </r>
  <r>
    <n v="1"/>
    <s v="P116588932"/>
    <x v="3"/>
    <x v="0"/>
    <x v="1"/>
    <n v="2"/>
    <x v="3"/>
    <x v="3"/>
    <n v="1719"/>
    <n v="503"/>
    <n v="15"/>
    <n v="58.19"/>
    <n v="0.396939"/>
    <n v="146.596832258861"/>
    <x v="0"/>
  </r>
  <r>
    <n v="0"/>
    <m/>
    <x v="3"/>
    <x v="0"/>
    <x v="1"/>
    <n v="2"/>
    <x v="4"/>
    <x v="4"/>
    <m/>
    <n v="585"/>
    <n v="15"/>
    <n v="69.79"/>
    <n v="0.396939"/>
    <n v="175.82046611696"/>
    <x v="0"/>
  </r>
  <r>
    <n v="0"/>
    <m/>
    <x v="3"/>
    <x v="0"/>
    <x v="1"/>
    <n v="2"/>
    <x v="4"/>
    <x v="4"/>
    <m/>
    <n v="586"/>
    <n v="15"/>
    <n v="69.86"/>
    <n v="0.396939"/>
    <n v="175.996815631621"/>
    <x v="0"/>
  </r>
  <r>
    <n v="1"/>
    <s v="P116642803"/>
    <x v="4"/>
    <x v="0"/>
    <x v="1"/>
    <n v="7"/>
    <x v="5"/>
    <x v="5"/>
    <n v="379"/>
    <n v="364"/>
    <n v="15"/>
    <n v="37.11"/>
    <n v="0.396939"/>
    <n v="93.4904355581084"/>
    <x v="0"/>
  </r>
  <r>
    <n v="1"/>
    <s v="P116644161"/>
    <x v="5"/>
    <x v="0"/>
    <x v="1"/>
    <n v="8"/>
    <x v="6"/>
    <x v="6"/>
    <n v="830"/>
    <n v="815"/>
    <n v="15"/>
    <n v="83.4"/>
    <n v="0.396939"/>
    <n v="210.107850324609"/>
    <x v="0"/>
  </r>
  <r>
    <n v="1"/>
    <s v="P116658798"/>
    <x v="6"/>
    <x v="0"/>
    <x v="1"/>
    <n v="9"/>
    <x v="4"/>
    <x v="7"/>
    <n v="3004"/>
    <n v="444"/>
    <n v="15"/>
    <n v="47.95"/>
    <n v="0.409"/>
    <n v="117.237163814181"/>
    <x v="0"/>
  </r>
  <r>
    <n v="0"/>
    <m/>
    <x v="6"/>
    <x v="0"/>
    <x v="1"/>
    <n v="9"/>
    <x v="7"/>
    <x v="8"/>
    <m/>
    <n v="524"/>
    <n v="15"/>
    <n v="55.79"/>
    <n v="0.409"/>
    <n v="136.40586797066"/>
    <x v="0"/>
  </r>
  <r>
    <n v="0"/>
    <m/>
    <x v="6"/>
    <x v="0"/>
    <x v="1"/>
    <n v="9"/>
    <x v="7"/>
    <x v="9"/>
    <m/>
    <n v="513"/>
    <n v="15"/>
    <n v="51.08"/>
    <n v="0.409"/>
    <n v="124.889975550122"/>
    <x v="0"/>
  </r>
  <r>
    <n v="0"/>
    <m/>
    <x v="6"/>
    <x v="0"/>
    <x v="1"/>
    <n v="9"/>
    <x v="4"/>
    <x v="7"/>
    <m/>
    <n v="444"/>
    <n v="15"/>
    <n v="47.95"/>
    <n v="0.409"/>
    <n v="117.237163814181"/>
    <x v="0"/>
  </r>
  <r>
    <n v="0"/>
    <m/>
    <x v="6"/>
    <x v="0"/>
    <x v="1"/>
    <n v="9"/>
    <x v="4"/>
    <x v="7"/>
    <m/>
    <n v="444"/>
    <n v="15"/>
    <n v="47.95"/>
    <n v="0.409"/>
    <n v="117.237163814181"/>
    <x v="0"/>
  </r>
  <r>
    <n v="0"/>
    <m/>
    <x v="6"/>
    <x v="0"/>
    <x v="1"/>
    <n v="9"/>
    <x v="4"/>
    <x v="10"/>
    <m/>
    <n v="545"/>
    <n v="15"/>
    <n v="59.8"/>
    <n v="0.409"/>
    <n v="146.210268948655"/>
    <x v="0"/>
  </r>
  <r>
    <n v="1"/>
    <s v="P116670904"/>
    <x v="7"/>
    <x v="0"/>
    <x v="1"/>
    <n v="10"/>
    <x v="8"/>
    <x v="11"/>
    <n v="869"/>
    <n v="390"/>
    <n v="15"/>
    <n v="37.96"/>
    <n v="0.396939"/>
    <n v="95.6318225218485"/>
    <x v="0"/>
  </r>
  <r>
    <n v="0"/>
    <m/>
    <x v="7"/>
    <x v="0"/>
    <x v="1"/>
    <n v="10"/>
    <x v="4"/>
    <x v="12"/>
    <m/>
    <n v="449"/>
    <n v="15"/>
    <n v="30.83"/>
    <n v="0.396939"/>
    <n v="77.669364814241"/>
    <x v="0"/>
  </r>
  <r>
    <n v="1"/>
    <s v="P116686061"/>
    <x v="8"/>
    <x v="0"/>
    <x v="1"/>
    <n v="10"/>
    <x v="9"/>
    <x v="13"/>
    <n v="934"/>
    <n v="345"/>
    <n v="15"/>
    <n v="34.07"/>
    <n v="0.396939"/>
    <n v="85.8318280642618"/>
    <x v="0"/>
  </r>
  <r>
    <n v="0"/>
    <m/>
    <x v="8"/>
    <x v="0"/>
    <x v="1"/>
    <n v="10"/>
    <x v="10"/>
    <x v="14"/>
    <m/>
    <n v="559"/>
    <n v="15"/>
    <n v="60.71"/>
    <n v="0.396939"/>
    <n v="152.945414786655"/>
    <x v="0"/>
  </r>
  <r>
    <n v="1"/>
    <s v="P116699105"/>
    <x v="9"/>
    <x v="0"/>
    <x v="1"/>
    <n v="11"/>
    <x v="4"/>
    <x v="15"/>
    <n v="336"/>
    <n v="321"/>
    <n v="15"/>
    <n v="28.78"/>
    <n v="0.396939"/>
    <n v="72.5048433134562"/>
    <x v="0"/>
  </r>
  <r>
    <n v="1"/>
    <s v="P116781653"/>
    <x v="10"/>
    <x v="0"/>
    <x v="1"/>
    <n v="14"/>
    <x v="2"/>
    <x v="16"/>
    <n v="754"/>
    <n v="362"/>
    <n v="15"/>
    <n v="27.81"/>
    <n v="0.409"/>
    <n v="67.9951100244499"/>
    <x v="0"/>
  </r>
  <r>
    <n v="0"/>
    <m/>
    <x v="10"/>
    <x v="0"/>
    <x v="1"/>
    <n v="14"/>
    <x v="2"/>
    <x v="16"/>
    <m/>
    <n v="362"/>
    <n v="15"/>
    <n v="27.81"/>
    <n v="0.409"/>
    <n v="67.9951100244499"/>
    <x v="0"/>
  </r>
  <r>
    <n v="1"/>
    <s v="P116808169"/>
    <x v="11"/>
    <x v="0"/>
    <x v="1"/>
    <n v="15"/>
    <x v="11"/>
    <x v="17"/>
    <n v="793"/>
    <n v="778"/>
    <n v="15"/>
    <n v="64.27"/>
    <n v="0.396939"/>
    <n v="161.914047246554"/>
    <x v="0"/>
  </r>
  <r>
    <n v="1"/>
    <s v="P116809851"/>
    <x v="12"/>
    <x v="0"/>
    <x v="1"/>
    <n v="15"/>
    <x v="12"/>
    <x v="18"/>
    <n v="554"/>
    <n v="539"/>
    <n v="15"/>
    <n v="47.17"/>
    <n v="0.396939"/>
    <n v="118.834380093667"/>
    <x v="0"/>
  </r>
  <r>
    <n v="1"/>
    <s v="P116853950"/>
    <x v="13"/>
    <x v="0"/>
    <x v="1"/>
    <n v="17"/>
    <x v="11"/>
    <x v="19"/>
    <n v="550"/>
    <n v="535"/>
    <n v="15"/>
    <n v="37.76"/>
    <n v="0.409"/>
    <n v="92.3227383863081"/>
    <x v="0"/>
  </r>
  <r>
    <n v="1"/>
    <s v="P116857769"/>
    <x v="14"/>
    <x v="0"/>
    <x v="1"/>
    <n v="17"/>
    <x v="13"/>
    <x v="20"/>
    <n v="930"/>
    <n v="450"/>
    <n v="15"/>
    <n v="45.99"/>
    <n v="0.409"/>
    <n v="112.444987775061"/>
    <x v="0"/>
  </r>
  <r>
    <n v="0"/>
    <m/>
    <x v="14"/>
    <x v="0"/>
    <x v="1"/>
    <n v="17"/>
    <x v="13"/>
    <x v="20"/>
    <m/>
    <n v="450"/>
    <n v="15"/>
    <n v="45.99"/>
    <n v="0.409"/>
    <n v="112.444987775061"/>
    <x v="0"/>
  </r>
  <r>
    <n v="1"/>
    <s v="P116862166"/>
    <x v="15"/>
    <x v="0"/>
    <x v="1"/>
    <n v="17"/>
    <x v="2"/>
    <x v="21"/>
    <n v="437"/>
    <n v="422"/>
    <n v="15"/>
    <n v="34.04"/>
    <n v="0.409"/>
    <n v="83.2273838630807"/>
    <x v="0"/>
  </r>
  <r>
    <n v="1"/>
    <s v="P116891414"/>
    <x v="16"/>
    <x v="0"/>
    <x v="1"/>
    <n v="18"/>
    <x v="14"/>
    <x v="22"/>
    <n v="350"/>
    <n v="335"/>
    <n v="0"/>
    <n v="66.32"/>
    <n v="0.410812"/>
    <n v="161.436374789441"/>
    <x v="1"/>
  </r>
  <r>
    <n v="1"/>
    <s v="P116902766"/>
    <x v="17"/>
    <x v="0"/>
    <x v="1"/>
    <n v="18"/>
    <x v="2"/>
    <x v="23"/>
    <n v="356"/>
    <n v="341"/>
    <n v="15"/>
    <n v="26.6"/>
    <n v="0.409"/>
    <n v="65.0366748166259"/>
    <x v="0"/>
  </r>
  <r>
    <n v="1"/>
    <s v="P116935834"/>
    <x v="18"/>
    <x v="0"/>
    <x v="1"/>
    <n v="18"/>
    <x v="6"/>
    <x v="24"/>
    <n v="708"/>
    <n v="693"/>
    <n v="15"/>
    <n v="39.2"/>
    <n v="0.409"/>
    <n v="95.8435207823961"/>
    <x v="0"/>
  </r>
  <r>
    <n v="1"/>
    <s v="P116949435"/>
    <x v="19"/>
    <x v="0"/>
    <x v="1"/>
    <n v="19"/>
    <x v="2"/>
    <x v="25"/>
    <n v="1317"/>
    <n v="409"/>
    <n v="15"/>
    <n v="35.71"/>
    <n v="0.409"/>
    <n v="87.3105134474328"/>
    <x v="0"/>
  </r>
  <r>
    <n v="0"/>
    <m/>
    <x v="19"/>
    <x v="0"/>
    <x v="1"/>
    <n v="19"/>
    <x v="5"/>
    <x v="26"/>
    <m/>
    <n v="384"/>
    <n v="15"/>
    <n v="43.79"/>
    <n v="0.409"/>
    <n v="107.066014669927"/>
    <x v="0"/>
  </r>
  <r>
    <n v="0"/>
    <m/>
    <x v="19"/>
    <x v="0"/>
    <x v="1"/>
    <n v="19"/>
    <x v="5"/>
    <x v="27"/>
    <m/>
    <n v="479"/>
    <n v="15"/>
    <n v="54.27"/>
    <n v="0.409"/>
    <n v="132.689486552567"/>
    <x v="0"/>
  </r>
  <r>
    <n v="1"/>
    <s v="P116976357"/>
    <x v="20"/>
    <x v="0"/>
    <x v="1"/>
    <n v="19"/>
    <x v="15"/>
    <x v="28"/>
    <n v="576"/>
    <n v="561"/>
    <n v="15"/>
    <n v="23.97"/>
    <n v="0.409"/>
    <n v="58.6063569682152"/>
    <x v="0"/>
  </r>
  <r>
    <n v="1"/>
    <s v="P116978781"/>
    <x v="21"/>
    <x v="0"/>
    <x v="1"/>
    <n v="19"/>
    <x v="1"/>
    <x v="29"/>
    <n v="698"/>
    <n v="683"/>
    <n v="15"/>
    <n v="53.23"/>
    <n v="0.409"/>
    <n v="130.146699266504"/>
    <x v="0"/>
  </r>
  <r>
    <n v="1"/>
    <s v="P117015210"/>
    <x v="22"/>
    <x v="0"/>
    <x v="1"/>
    <n v="20"/>
    <x v="13"/>
    <x v="30"/>
    <n v="949"/>
    <n v="542"/>
    <n v="15"/>
    <n v="88.05"/>
    <n v="0.409"/>
    <n v="215.281173594132"/>
    <x v="0"/>
  </r>
  <r>
    <n v="0"/>
    <m/>
    <x v="22"/>
    <x v="0"/>
    <x v="1"/>
    <n v="20"/>
    <x v="13"/>
    <x v="30"/>
    <m/>
    <n v="377"/>
    <n v="15"/>
    <n v="38.12"/>
    <n v="0.409"/>
    <n v="93.2029339853301"/>
    <x v="0"/>
  </r>
  <r>
    <n v="1"/>
    <s v="P117019365"/>
    <x v="23"/>
    <x v="0"/>
    <x v="1"/>
    <n v="20"/>
    <x v="16"/>
    <x v="31"/>
    <n v="892"/>
    <n v="877"/>
    <n v="15"/>
    <n v="51.77"/>
    <n v="0.409"/>
    <n v="126.577017114914"/>
    <x v="0"/>
  </r>
  <r>
    <n v="1"/>
    <s v="P117029408"/>
    <x v="24"/>
    <x v="0"/>
    <x v="1"/>
    <n v="20"/>
    <x v="6"/>
    <x v="32"/>
    <n v="1616"/>
    <n v="793"/>
    <n v="15"/>
    <n v="72.72"/>
    <n v="0.409"/>
    <n v="177.799511002445"/>
    <x v="0"/>
  </r>
  <r>
    <n v="0"/>
    <m/>
    <x v="24"/>
    <x v="0"/>
    <x v="1"/>
    <n v="20"/>
    <x v="6"/>
    <x v="32"/>
    <m/>
    <n v="793"/>
    <n v="15"/>
    <n v="70.72"/>
    <n v="0.409"/>
    <n v="172.909535452323"/>
    <x v="0"/>
  </r>
  <r>
    <n v="1"/>
    <s v="P117038341"/>
    <x v="25"/>
    <x v="0"/>
    <x v="1"/>
    <n v="21"/>
    <x v="14"/>
    <x v="33"/>
    <n v="343"/>
    <n v="328"/>
    <n v="15"/>
    <n v="20.09"/>
    <n v="0.409"/>
    <n v="49.119804400978"/>
    <x v="0"/>
  </r>
  <r>
    <n v="1"/>
    <s v="P117043346"/>
    <x v="26"/>
    <x v="0"/>
    <x v="1"/>
    <n v="21"/>
    <x v="17"/>
    <x v="34"/>
    <n v="600"/>
    <n v="285"/>
    <n v="15"/>
    <n v="31.67"/>
    <n v="0.409"/>
    <n v="77.4327628361858"/>
    <x v="0"/>
  </r>
  <r>
    <n v="0"/>
    <m/>
    <x v="26"/>
    <x v="0"/>
    <x v="1"/>
    <n v="21"/>
    <x v="17"/>
    <x v="34"/>
    <m/>
    <n v="285"/>
    <n v="15"/>
    <n v="32.04"/>
    <n v="0.409"/>
    <n v="78.3374083129585"/>
    <x v="0"/>
  </r>
  <r>
    <n v="1"/>
    <s v="P117050379"/>
    <x v="27"/>
    <x v="0"/>
    <x v="1"/>
    <n v="21"/>
    <x v="18"/>
    <x v="35"/>
    <n v="508"/>
    <n v="493"/>
    <n v="15"/>
    <n v="28.1"/>
    <n v="0.409"/>
    <n v="68.7041564792176"/>
    <x v="0"/>
  </r>
  <r>
    <n v="1"/>
    <s v="P117049476"/>
    <x v="28"/>
    <x v="0"/>
    <x v="1"/>
    <n v="21"/>
    <x v="19"/>
    <x v="36"/>
    <n v="396"/>
    <n v="381"/>
    <n v="15"/>
    <n v="23.86"/>
    <n v="0.409"/>
    <n v="58.3374083129584"/>
    <x v="0"/>
  </r>
  <r>
    <n v="1"/>
    <s v="P117061284"/>
    <x v="29"/>
    <x v="0"/>
    <x v="1"/>
    <n v="21"/>
    <x v="10"/>
    <x v="37"/>
    <n v="446"/>
    <n v="431"/>
    <n v="15"/>
    <n v="29.13"/>
    <n v="0.409"/>
    <n v="71.2224938875306"/>
    <x v="0"/>
  </r>
  <r>
    <n v="1"/>
    <s v="P117067740"/>
    <x v="30"/>
    <x v="0"/>
    <x v="1"/>
    <n v="21"/>
    <x v="1"/>
    <x v="38"/>
    <n v="361"/>
    <n v="346"/>
    <n v="15"/>
    <n v="29.13"/>
    <n v="0.409"/>
    <n v="71.2224938875306"/>
    <x v="0"/>
  </r>
  <r>
    <n v="1"/>
    <s v="P117073821"/>
    <x v="31"/>
    <x v="0"/>
    <x v="1"/>
    <n v="21"/>
    <x v="2"/>
    <x v="39"/>
    <n v="289"/>
    <n v="274"/>
    <n v="15"/>
    <n v="8.84"/>
    <n v="0.409"/>
    <n v="21.6136919315403"/>
    <x v="0"/>
  </r>
  <r>
    <n v="1"/>
    <s v="P117072480"/>
    <x v="32"/>
    <x v="0"/>
    <x v="1"/>
    <n v="21"/>
    <x v="5"/>
    <x v="5"/>
    <n v="363"/>
    <n v="348"/>
    <n v="15"/>
    <n v="34.77"/>
    <n v="0.409"/>
    <n v="85.0122249388753"/>
    <x v="0"/>
  </r>
  <r>
    <n v="1"/>
    <s v="P117101632"/>
    <x v="33"/>
    <x v="0"/>
    <x v="1"/>
    <n v="21"/>
    <x v="20"/>
    <x v="40"/>
    <n v="285"/>
    <n v="270"/>
    <n v="15"/>
    <n v="20.88"/>
    <n v="0.409"/>
    <n v="51.0513447432763"/>
    <x v="0"/>
  </r>
  <r>
    <n v="1"/>
    <s v="P117107966"/>
    <x v="34"/>
    <x v="0"/>
    <x v="1"/>
    <n v="21"/>
    <x v="13"/>
    <x v="41"/>
    <n v="448"/>
    <n v="433"/>
    <n v="15"/>
    <n v="28.73"/>
    <n v="0.409"/>
    <n v="70.2444987775061"/>
    <x v="0"/>
  </r>
  <r>
    <n v="1"/>
    <s v="P117126190"/>
    <x v="35"/>
    <x v="0"/>
    <x v="1"/>
    <n v="22"/>
    <x v="9"/>
    <x v="42"/>
    <n v="437"/>
    <n v="422"/>
    <n v="15"/>
    <n v="22.12"/>
    <n v="0.409"/>
    <n v="54.0831295843521"/>
    <x v="0"/>
  </r>
  <r>
    <n v="1"/>
    <s v="P117129904"/>
    <x v="36"/>
    <x v="0"/>
    <x v="1"/>
    <n v="22"/>
    <x v="17"/>
    <x v="43"/>
    <n v="367"/>
    <n v="154"/>
    <n v="15"/>
    <n v="26.41"/>
    <n v="0.409"/>
    <n v="64.5721271393643"/>
    <x v="0"/>
  </r>
  <r>
    <n v="0"/>
    <m/>
    <x v="36"/>
    <x v="0"/>
    <x v="1"/>
    <n v="22"/>
    <x v="17"/>
    <x v="44"/>
    <m/>
    <n v="183"/>
    <n v="15"/>
    <n v="26.32"/>
    <n v="0.409"/>
    <n v="64.3520782396088"/>
    <x v="0"/>
  </r>
  <r>
    <n v="1"/>
    <s v="P117132261"/>
    <x v="37"/>
    <x v="0"/>
    <x v="1"/>
    <n v="22"/>
    <x v="21"/>
    <x v="45"/>
    <n v="339"/>
    <n v="324"/>
    <n v="15"/>
    <n v="26.34"/>
    <n v="0.409"/>
    <n v="64.40097799511"/>
    <x v="0"/>
  </r>
  <r>
    <n v="1"/>
    <s v="P117169605"/>
    <x v="38"/>
    <x v="0"/>
    <x v="1"/>
    <n v="25"/>
    <x v="1"/>
    <x v="46"/>
    <n v="543"/>
    <n v="528"/>
    <n v="15"/>
    <n v="39.13"/>
    <n v="0.409"/>
    <n v="95.6723716381418"/>
    <x v="0"/>
  </r>
  <r>
    <n v="1"/>
    <s v="P117182199"/>
    <x v="39"/>
    <x v="0"/>
    <x v="1"/>
    <n v="26"/>
    <x v="22"/>
    <x v="47"/>
    <n v="377"/>
    <n v="362"/>
    <n v="15"/>
    <n v="27.86"/>
    <n v="0.409"/>
    <n v="68.1173594132029"/>
    <x v="0"/>
  </r>
  <r>
    <n v="1"/>
    <s v="P117183245"/>
    <x v="40"/>
    <x v="0"/>
    <x v="1"/>
    <n v="26"/>
    <x v="14"/>
    <x v="48"/>
    <n v="1367"/>
    <n v="313"/>
    <n v="15"/>
    <n v="45.78"/>
    <n v="0.401"/>
    <n v="114.164588528678"/>
    <x v="0"/>
  </r>
  <r>
    <n v="0"/>
    <m/>
    <x v="40"/>
    <x v="0"/>
    <x v="1"/>
    <n v="26"/>
    <x v="2"/>
    <x v="49"/>
    <m/>
    <n v="384"/>
    <n v="15"/>
    <n v="22.03"/>
    <n v="0.401"/>
    <n v="54.9376558603491"/>
    <x v="0"/>
  </r>
  <r>
    <n v="0"/>
    <m/>
    <x v="40"/>
    <x v="0"/>
    <x v="1"/>
    <n v="26"/>
    <x v="14"/>
    <x v="48"/>
    <m/>
    <n v="295"/>
    <n v="15"/>
    <n v="28.86"/>
    <n v="0.401"/>
    <n v="71.9700748129676"/>
    <x v="0"/>
  </r>
  <r>
    <n v="0"/>
    <m/>
    <x v="40"/>
    <x v="0"/>
    <x v="1"/>
    <n v="26"/>
    <x v="2"/>
    <x v="50"/>
    <m/>
    <n v="315"/>
    <n v="15"/>
    <n v="26.47"/>
    <n v="0.401"/>
    <n v="66.0099750623441"/>
    <x v="0"/>
  </r>
  <r>
    <n v="1"/>
    <s v="P117186157"/>
    <x v="41"/>
    <x v="0"/>
    <x v="1"/>
    <n v="26"/>
    <x v="2"/>
    <x v="51"/>
    <n v="326"/>
    <n v="311"/>
    <n v="15"/>
    <n v="9.68"/>
    <n v="0.409"/>
    <n v="23.6674816625917"/>
    <x v="0"/>
  </r>
  <r>
    <n v="1"/>
    <s v="P117205514"/>
    <x v="42"/>
    <x v="0"/>
    <x v="1"/>
    <n v="27"/>
    <x v="3"/>
    <x v="52"/>
    <n v="462"/>
    <n v="447"/>
    <n v="15"/>
    <n v="12.78"/>
    <n v="0.401"/>
    <n v="31.8703241895262"/>
    <x v="0"/>
  </r>
  <r>
    <n v="1"/>
    <s v="P117207813"/>
    <x v="43"/>
    <x v="0"/>
    <x v="1"/>
    <n v="27"/>
    <x v="21"/>
    <x v="53"/>
    <n v="526"/>
    <n v="128"/>
    <n v="15"/>
    <n v="23.14"/>
    <n v="0.40337"/>
    <n v="57.3666856732033"/>
    <x v="0"/>
  </r>
  <r>
    <n v="0"/>
    <m/>
    <x v="43"/>
    <x v="0"/>
    <x v="1"/>
    <n v="27"/>
    <x v="21"/>
    <x v="53"/>
    <m/>
    <n v="128"/>
    <n v="15"/>
    <n v="23.14"/>
    <n v="0.40337"/>
    <n v="57.3666856732033"/>
    <x v="0"/>
  </r>
  <r>
    <n v="0"/>
    <m/>
    <x v="43"/>
    <x v="0"/>
    <x v="1"/>
    <n v="27"/>
    <x v="21"/>
    <x v="54"/>
    <m/>
    <n v="105"/>
    <n v="15"/>
    <n v="25.39"/>
    <n v="0.40337"/>
    <n v="62.9446909785061"/>
    <x v="0"/>
  </r>
  <r>
    <n v="0"/>
    <m/>
    <x v="43"/>
    <x v="0"/>
    <x v="1"/>
    <n v="27"/>
    <x v="21"/>
    <x v="54"/>
    <m/>
    <n v="105"/>
    <n v="15"/>
    <n v="25.39"/>
    <n v="0.40337"/>
    <n v="62.9446909785061"/>
    <x v="0"/>
  </r>
  <r>
    <n v="1"/>
    <s v="P117207920"/>
    <x v="44"/>
    <x v="0"/>
    <x v="1"/>
    <n v="27"/>
    <x v="10"/>
    <x v="55"/>
    <n v="815"/>
    <n v="800"/>
    <n v="15"/>
    <n v="24.23"/>
    <n v="0.409"/>
    <n v="59.2420537897311"/>
    <x v="0"/>
  </r>
  <r>
    <n v="1"/>
    <s v="P117216753"/>
    <x v="45"/>
    <x v="0"/>
    <x v="1"/>
    <n v="28"/>
    <x v="20"/>
    <x v="56"/>
    <n v="554"/>
    <n v="254"/>
    <n v="15"/>
    <n v="23.38"/>
    <n v="0.401"/>
    <n v="58.3042394014963"/>
    <x v="0"/>
  </r>
  <r>
    <n v="0"/>
    <m/>
    <x v="45"/>
    <x v="0"/>
    <x v="1"/>
    <n v="28"/>
    <x v="20"/>
    <x v="57"/>
    <m/>
    <n v="270"/>
    <n v="15"/>
    <n v="31.58"/>
    <n v="0.401"/>
    <n v="78.7531172069825"/>
    <x v="0"/>
  </r>
  <r>
    <n v="1"/>
    <s v="P117220219"/>
    <x v="46"/>
    <x v="0"/>
    <x v="1"/>
    <n v="28"/>
    <x v="1"/>
    <x v="58"/>
    <n v="713"/>
    <n v="698"/>
    <n v="15"/>
    <n v="47.01"/>
    <n v="0.409"/>
    <n v="114.938875305623"/>
    <x v="0"/>
  </r>
  <r>
    <n v="1"/>
    <s v="P117226184"/>
    <x v="47"/>
    <x v="0"/>
    <x v="1"/>
    <n v="29"/>
    <x v="21"/>
    <x v="59"/>
    <n v="361"/>
    <n v="346"/>
    <n v="15"/>
    <n v="29.03"/>
    <n v="0.409"/>
    <n v="70.9779951100245"/>
    <x v="0"/>
  </r>
  <r>
    <n v="1"/>
    <s v="P117231610"/>
    <x v="48"/>
    <x v="0"/>
    <x v="1"/>
    <n v="29"/>
    <x v="18"/>
    <x v="35"/>
    <n v="569"/>
    <n v="554"/>
    <n v="15"/>
    <n v="39.43"/>
    <n v="0.409"/>
    <n v="96.4058679706602"/>
    <x v="0"/>
  </r>
  <r>
    <n v="1"/>
    <s v="P117252149"/>
    <x v="49"/>
    <x v="0"/>
    <x v="1"/>
    <n v="30"/>
    <x v="1"/>
    <x v="60"/>
    <n v="747"/>
    <n v="732"/>
    <n v="15"/>
    <n v="43.85"/>
    <n v="0.409"/>
    <n v="107.21271393643"/>
    <x v="0"/>
  </r>
  <r>
    <n v="1"/>
    <s v="P117252783"/>
    <x v="50"/>
    <x v="0"/>
    <x v="1"/>
    <n v="30"/>
    <x v="1"/>
    <x v="61"/>
    <n v="1179"/>
    <n v="384"/>
    <n v="15"/>
    <n v="26.38"/>
    <n v="0.401"/>
    <n v="65.785536159601"/>
    <x v="0"/>
  </r>
  <r>
    <n v="0"/>
    <m/>
    <x v="50"/>
    <x v="0"/>
    <x v="1"/>
    <n v="30"/>
    <x v="11"/>
    <x v="62"/>
    <m/>
    <n v="765"/>
    <n v="15"/>
    <n v="58.45"/>
    <n v="0.401"/>
    <n v="145.760598503741"/>
    <x v="0"/>
  </r>
  <r>
    <n v="1"/>
    <s v="P117275293"/>
    <x v="51"/>
    <x v="0"/>
    <x v="2"/>
    <n v="2"/>
    <x v="13"/>
    <x v="63"/>
    <n v="523"/>
    <n v="508"/>
    <n v="15"/>
    <n v="32.48"/>
    <n v="0.401"/>
    <n v="80.997506234414"/>
    <x v="0"/>
  </r>
  <r>
    <n v="1"/>
    <s v="P117278581"/>
    <x v="52"/>
    <x v="0"/>
    <x v="2"/>
    <n v="2"/>
    <x v="2"/>
    <x v="64"/>
    <n v="411"/>
    <n v="396"/>
    <n v="15"/>
    <n v="25.15"/>
    <n v="0.401"/>
    <n v="62.7182044887781"/>
    <x v="0"/>
  </r>
  <r>
    <n v="1"/>
    <s v="P117299840"/>
    <x v="53"/>
    <x v="0"/>
    <x v="2"/>
    <n v="4"/>
    <x v="2"/>
    <x v="65"/>
    <n v="295"/>
    <n v="280"/>
    <n v="15"/>
    <n v="23.36"/>
    <n v="0.401"/>
    <n v="58.2543640897756"/>
    <x v="0"/>
  </r>
  <r>
    <n v="1"/>
    <s v="P117304147"/>
    <x v="54"/>
    <x v="0"/>
    <x v="2"/>
    <n v="4"/>
    <x v="1"/>
    <x v="66"/>
    <n v="725"/>
    <n v="710"/>
    <n v="15"/>
    <n v="40.6"/>
    <n v="0.401"/>
    <n v="101.246882793017"/>
    <x v="0"/>
  </r>
  <r>
    <n v="1"/>
    <s v="P117331800"/>
    <x v="55"/>
    <x v="0"/>
    <x v="2"/>
    <n v="6"/>
    <x v="23"/>
    <x v="67"/>
    <n v="170"/>
    <n v="155"/>
    <n v="15"/>
    <n v="17.82"/>
    <n v="0.401"/>
    <n v="44.4389027431421"/>
    <x v="0"/>
  </r>
  <r>
    <n v="1"/>
    <s v="P117332056"/>
    <x v="56"/>
    <x v="0"/>
    <x v="2"/>
    <n v="6"/>
    <x v="11"/>
    <x v="68"/>
    <n v="508"/>
    <n v="493"/>
    <n v="15"/>
    <n v="46.72"/>
    <n v="0.401"/>
    <n v="116.508728179551"/>
    <x v="0"/>
  </r>
  <r>
    <n v="1"/>
    <s v="P117333623"/>
    <x v="57"/>
    <x v="0"/>
    <x v="2"/>
    <n v="6"/>
    <x v="6"/>
    <x v="69"/>
    <n v="482"/>
    <n v="467"/>
    <n v="15"/>
    <n v="32.1"/>
    <n v="0.401"/>
    <n v="80.0498753117207"/>
    <x v="0"/>
  </r>
  <r>
    <n v="1"/>
    <s v="P117357697"/>
    <x v="58"/>
    <x v="0"/>
    <x v="2"/>
    <n v="8"/>
    <x v="24"/>
    <x v="70"/>
    <n v="616"/>
    <n v="601"/>
    <n v="15"/>
    <n v="49.47"/>
    <n v="0.401"/>
    <n v="123.366583541147"/>
    <x v="0"/>
  </r>
  <r>
    <n v="1"/>
    <s v="P117357917"/>
    <x v="59"/>
    <x v="0"/>
    <x v="2"/>
    <n v="8"/>
    <x v="25"/>
    <x v="71"/>
    <n v="324"/>
    <n v="309"/>
    <n v="15"/>
    <n v="30.87"/>
    <n v="0.40337"/>
    <n v="76.5302327887548"/>
    <x v="0"/>
  </r>
  <r>
    <n v="1"/>
    <s v="P117359558"/>
    <x v="60"/>
    <x v="0"/>
    <x v="2"/>
    <n v="8"/>
    <x v="26"/>
    <x v="72"/>
    <n v="1108"/>
    <n v="1093"/>
    <n v="15"/>
    <n v="44.23"/>
    <n v="0.401"/>
    <n v="110.299251870324"/>
    <x v="0"/>
  </r>
  <r>
    <n v="1"/>
    <s v="P117403803"/>
    <x v="61"/>
    <x v="0"/>
    <x v="2"/>
    <n v="11"/>
    <x v="27"/>
    <x v="73"/>
    <n v="537.96"/>
    <n v="222.96"/>
    <n v="15"/>
    <n v="15.21"/>
    <n v="0.40337"/>
    <n v="37.7073158638471"/>
    <x v="0"/>
  </r>
  <r>
    <n v="0"/>
    <m/>
    <x v="61"/>
    <x v="0"/>
    <x v="2"/>
    <n v="11"/>
    <x v="20"/>
    <x v="74"/>
    <m/>
    <n v="285"/>
    <n v="15"/>
    <n v="25.61"/>
    <n v="0.40337"/>
    <n v="63.4900959416913"/>
    <x v="0"/>
  </r>
  <r>
    <n v="1"/>
    <s v="P117409058"/>
    <x v="62"/>
    <x v="0"/>
    <x v="2"/>
    <n v="11"/>
    <x v="28"/>
    <x v="75"/>
    <n v="682"/>
    <n v="667"/>
    <n v="15"/>
    <n v="54.62"/>
    <n v="0.40337"/>
    <n v="135.409177678062"/>
    <x v="0"/>
  </r>
  <r>
    <n v="1"/>
    <s v="P117416969"/>
    <x v="63"/>
    <x v="0"/>
    <x v="2"/>
    <n v="12"/>
    <x v="3"/>
    <x v="76"/>
    <n v="605"/>
    <n v="590"/>
    <n v="15"/>
    <n v="37.11"/>
    <n v="0.40337"/>
    <n v="91.9999008354612"/>
    <x v="0"/>
  </r>
  <r>
    <n v="1"/>
    <s v="P117431626"/>
    <x v="64"/>
    <x v="0"/>
    <x v="2"/>
    <n v="13"/>
    <x v="13"/>
    <x v="77"/>
    <n v="349"/>
    <n v="334"/>
    <n v="15"/>
    <n v="21.78"/>
    <n v="0.40337"/>
    <n v="53.9950913553313"/>
    <x v="0"/>
  </r>
  <r>
    <n v="1"/>
    <s v="P117434860"/>
    <x v="65"/>
    <x v="0"/>
    <x v="2"/>
    <n v="13"/>
    <x v="7"/>
    <x v="9"/>
    <n v="1062"/>
    <n v="576"/>
    <n v="15"/>
    <n v="49.58"/>
    <n v="0.40337"/>
    <n v="122.914445794184"/>
    <x v="0"/>
  </r>
  <r>
    <n v="0"/>
    <m/>
    <x v="65"/>
    <x v="0"/>
    <x v="2"/>
    <n v="13"/>
    <x v="3"/>
    <x v="78"/>
    <m/>
    <n v="456"/>
    <n v="15"/>
    <n v="4.88"/>
    <n v="0.40337"/>
    <n v="12.0980737288346"/>
    <x v="0"/>
  </r>
  <r>
    <n v="1"/>
    <s v="P117437820"/>
    <x v="66"/>
    <x v="0"/>
    <x v="2"/>
    <n v="13"/>
    <x v="29"/>
    <x v="79"/>
    <n v="247"/>
    <n v="232"/>
    <n v="15"/>
    <n v="21.62"/>
    <n v="0.40337"/>
    <n v="53.5984332002876"/>
    <x v="0"/>
  </r>
  <r>
    <n v="1"/>
    <s v="P117440029"/>
    <x v="67"/>
    <x v="0"/>
    <x v="2"/>
    <n v="13"/>
    <x v="17"/>
    <x v="80"/>
    <n v="200"/>
    <n v="185"/>
    <n v="15"/>
    <n v="8.28"/>
    <n v="0.40337"/>
    <n v="20.5270595235144"/>
    <x v="0"/>
  </r>
  <r>
    <n v="1"/>
    <s v="P117445952"/>
    <x v="68"/>
    <x v="0"/>
    <x v="2"/>
    <n v="13"/>
    <x v="14"/>
    <x v="81"/>
    <n v="330"/>
    <n v="315"/>
    <n v="15"/>
    <n v="19.44"/>
    <n v="0.40337"/>
    <n v="48.1939658378164"/>
    <x v="0"/>
  </r>
  <r>
    <n v="1"/>
    <s v="P117462121"/>
    <x v="69"/>
    <x v="0"/>
    <x v="2"/>
    <n v="14"/>
    <x v="24"/>
    <x v="70"/>
    <n v="537"/>
    <n v="522"/>
    <n v="15"/>
    <n v="33.41"/>
    <n v="0.40337"/>
    <n v="82.8271810000744"/>
    <x v="0"/>
  </r>
  <r>
    <n v="1"/>
    <s v="P117461726"/>
    <x v="70"/>
    <x v="0"/>
    <x v="2"/>
    <n v="14"/>
    <x v="9"/>
    <x v="82"/>
    <n v="327"/>
    <n v="312"/>
    <n v="15"/>
    <n v="12.48"/>
    <n v="0.40337"/>
    <n v="30.939336093413"/>
    <x v="0"/>
  </r>
  <r>
    <n v="1"/>
    <s v="P117465109"/>
    <x v="71"/>
    <x v="0"/>
    <x v="2"/>
    <n v="15"/>
    <x v="5"/>
    <x v="83"/>
    <n v="435"/>
    <n v="420"/>
    <n v="15"/>
    <n v="29.95"/>
    <n v="0.40337"/>
    <n v="74.2494483972531"/>
    <x v="0"/>
  </r>
  <r>
    <n v="1"/>
    <s v="P117468773"/>
    <x v="72"/>
    <x v="0"/>
    <x v="2"/>
    <n v="15"/>
    <x v="18"/>
    <x v="84"/>
    <n v="546"/>
    <n v="531"/>
    <n v="15"/>
    <n v="38.67"/>
    <n v="0.410812"/>
    <n v="94.1306485691752"/>
    <x v="2"/>
  </r>
  <r>
    <n v="1"/>
    <s v="P117473380"/>
    <x v="73"/>
    <x v="0"/>
    <x v="2"/>
    <n v="15"/>
    <x v="30"/>
    <x v="85"/>
    <n v="340"/>
    <n v="325"/>
    <n v="15"/>
    <n v="33.41"/>
    <n v="0.40337"/>
    <n v="82.8271810000744"/>
    <x v="0"/>
  </r>
  <r>
    <n v="1"/>
    <s v="P117477872"/>
    <x v="74"/>
    <x v="0"/>
    <x v="2"/>
    <n v="15"/>
    <x v="1"/>
    <x v="38"/>
    <n v="361"/>
    <n v="346"/>
    <n v="15"/>
    <n v="22.15"/>
    <n v="0.40337"/>
    <n v="54.91236333887"/>
    <x v="0"/>
  </r>
  <r>
    <n v="1"/>
    <s v="P117486258"/>
    <x v="75"/>
    <x v="0"/>
    <x v="2"/>
    <n v="16"/>
    <x v="19"/>
    <x v="36"/>
    <n v="392"/>
    <n v="377"/>
    <n v="15"/>
    <n v="28.27"/>
    <n v="0.40337"/>
    <n v="70.0845377692937"/>
    <x v="0"/>
  </r>
  <r>
    <n v="1"/>
    <s v="P117488579"/>
    <x v="76"/>
    <x v="0"/>
    <x v="2"/>
    <n v="16"/>
    <x v="31"/>
    <x v="86"/>
    <n v="441"/>
    <n v="426"/>
    <n v="15"/>
    <n v="24.66"/>
    <n v="0.40337"/>
    <n v="61.134938146119"/>
    <x v="0"/>
  </r>
  <r>
    <n v="1"/>
    <s v="P117489513"/>
    <x v="77"/>
    <x v="0"/>
    <x v="2"/>
    <n v="16"/>
    <x v="32"/>
    <x v="87"/>
    <n v="370"/>
    <n v="168"/>
    <n v="15"/>
    <n v="21.69"/>
    <n v="0.40337"/>
    <n v="53.7719711431192"/>
    <x v="0"/>
  </r>
  <r>
    <n v="0"/>
    <m/>
    <x v="77"/>
    <x v="0"/>
    <x v="2"/>
    <n v="16"/>
    <x v="32"/>
    <x v="87"/>
    <m/>
    <n v="172"/>
    <n v="15"/>
    <n v="20.48"/>
    <n v="0.40337"/>
    <n v="50.7722438456008"/>
    <x v="0"/>
  </r>
  <r>
    <n v="1"/>
    <s v="P117513091"/>
    <x v="78"/>
    <x v="0"/>
    <x v="2"/>
    <n v="17"/>
    <x v="19"/>
    <x v="36"/>
    <n v="378"/>
    <n v="363"/>
    <n v="15"/>
    <n v="24.39"/>
    <n v="0.40337"/>
    <n v="60.4655775094826"/>
    <x v="0"/>
  </r>
  <r>
    <n v="1"/>
    <s v="P117511301"/>
    <x v="79"/>
    <x v="0"/>
    <x v="2"/>
    <n v="17"/>
    <x v="10"/>
    <x v="55"/>
    <n v="841"/>
    <n v="826"/>
    <n v="15"/>
    <n v="37"/>
    <n v="0.40337"/>
    <n v="91.7271983538687"/>
    <x v="0"/>
  </r>
  <r>
    <n v="1"/>
    <s v="P117504382"/>
    <x v="80"/>
    <x v="0"/>
    <x v="2"/>
    <n v="17"/>
    <x v="33"/>
    <x v="88"/>
    <n v="868"/>
    <n v="853"/>
    <n v="15"/>
    <n v="114.64"/>
    <n v="0.40337"/>
    <n v="284.205568088851"/>
    <x v="0"/>
  </r>
  <r>
    <n v="1"/>
    <s v="P117514332"/>
    <x v="81"/>
    <x v="0"/>
    <x v="2"/>
    <n v="18"/>
    <x v="13"/>
    <x v="89"/>
    <n v="489"/>
    <n v="474"/>
    <n v="15"/>
    <n v="39"/>
    <n v="0.40337"/>
    <n v="96.6854252919156"/>
    <x v="0"/>
  </r>
  <r>
    <n v="1"/>
    <s v="P117515864"/>
    <x v="82"/>
    <x v="0"/>
    <x v="2"/>
    <n v="18"/>
    <x v="21"/>
    <x v="90"/>
    <n v="115"/>
    <n v="100"/>
    <n v="15"/>
    <n v="8.39"/>
    <n v="0.40337"/>
    <n v="20.799762005107"/>
    <x v="0"/>
  </r>
  <r>
    <n v="1"/>
    <s v="P117497850"/>
    <x v="83"/>
    <x v="0"/>
    <x v="2"/>
    <n v="17"/>
    <x v="6"/>
    <x v="91"/>
    <n v="683"/>
    <n v="668"/>
    <n v="15"/>
    <n v="40.69"/>
    <n v="0.40337"/>
    <n v="100.875127054565"/>
    <x v="0"/>
  </r>
  <r>
    <n v="1"/>
    <s v="P117517960"/>
    <x v="84"/>
    <x v="0"/>
    <x v="2"/>
    <n v="18"/>
    <x v="2"/>
    <x v="92"/>
    <n v="1090"/>
    <n v="330"/>
    <n v="15"/>
    <n v="25.12"/>
    <n v="0.40337"/>
    <n v="62.2753303418698"/>
    <x v="0"/>
  </r>
  <r>
    <n v="0"/>
    <m/>
    <x v="84"/>
    <x v="0"/>
    <x v="2"/>
    <n v="18"/>
    <x v="2"/>
    <x v="49"/>
    <m/>
    <n v="408"/>
    <n v="15"/>
    <n v="29.04"/>
    <n v="0.40337"/>
    <n v="71.9934551404418"/>
    <x v="0"/>
  </r>
  <r>
    <n v="0"/>
    <m/>
    <x v="84"/>
    <x v="0"/>
    <x v="2"/>
    <n v="18"/>
    <x v="2"/>
    <x v="93"/>
    <m/>
    <n v="307"/>
    <n v="15"/>
    <n v="31.57"/>
    <n v="0.40337"/>
    <n v="78.2656122170712"/>
    <x v="0"/>
  </r>
  <r>
    <n v="1"/>
    <s v="P117514395"/>
    <x v="85"/>
    <x v="0"/>
    <x v="2"/>
    <n v="18"/>
    <x v="23"/>
    <x v="94"/>
    <n v="206"/>
    <n v="191"/>
    <n v="15"/>
    <n v="21.85"/>
    <n v="0.40337"/>
    <n v="54.168629298163"/>
    <x v="0"/>
  </r>
  <r>
    <n v="1"/>
    <s v="P117506630"/>
    <x v="86"/>
    <x v="0"/>
    <x v="2"/>
    <n v="17"/>
    <x v="17"/>
    <x v="95"/>
    <n v="425"/>
    <n v="210"/>
    <n v="15"/>
    <n v="31.42"/>
    <n v="0.40337"/>
    <n v="77.8937451967177"/>
    <x v="0"/>
  </r>
  <r>
    <n v="0"/>
    <m/>
    <x v="86"/>
    <x v="0"/>
    <x v="2"/>
    <n v="17"/>
    <x v="17"/>
    <x v="96"/>
    <m/>
    <n v="185"/>
    <n v="15"/>
    <n v="17.54"/>
    <n v="0.40337"/>
    <n v="43.4836502466718"/>
    <x v="0"/>
  </r>
  <r>
    <n v="1"/>
    <s v="P117524674"/>
    <x v="87"/>
    <x v="0"/>
    <x v="2"/>
    <n v="18"/>
    <x v="31"/>
    <x v="97"/>
    <n v="887"/>
    <n v="872"/>
    <n v="15"/>
    <n v="54.16"/>
    <n v="0.40337"/>
    <n v="134.268785482312"/>
    <x v="0"/>
  </r>
  <r>
    <n v="1"/>
    <s v="P117526000"/>
    <x v="88"/>
    <x v="0"/>
    <x v="2"/>
    <n v="18"/>
    <x v="34"/>
    <x v="98"/>
    <n v="335"/>
    <n v="320"/>
    <n v="15"/>
    <n v="19.78"/>
    <n v="0.40337"/>
    <n v="49.0368644172844"/>
    <x v="0"/>
  </r>
  <r>
    <n v="1"/>
    <s v="P117529585"/>
    <x v="89"/>
    <x v="0"/>
    <x v="2"/>
    <n v="18"/>
    <x v="18"/>
    <x v="99"/>
    <n v="707"/>
    <n v="692"/>
    <n v="15"/>
    <n v="46.78"/>
    <n v="0.410812"/>
    <n v="113.872038791467"/>
    <x v="2"/>
  </r>
  <r>
    <n v="1"/>
    <s v="P117531581"/>
    <x v="90"/>
    <x v="0"/>
    <x v="2"/>
    <n v="18"/>
    <x v="3"/>
    <x v="100"/>
    <n v="1447"/>
    <n v="421"/>
    <n v="15"/>
    <n v="30.12"/>
    <n v="0.40337"/>
    <n v="74.6708976869871"/>
    <x v="0"/>
  </r>
  <r>
    <n v="0"/>
    <m/>
    <x v="90"/>
    <x v="0"/>
    <x v="2"/>
    <n v="18"/>
    <x v="28"/>
    <x v="101"/>
    <m/>
    <n v="533"/>
    <n v="15"/>
    <n v="30.25"/>
    <n v="0.40337"/>
    <n v="74.9931824379602"/>
    <x v="0"/>
  </r>
  <r>
    <n v="0"/>
    <m/>
    <x v="90"/>
    <x v="0"/>
    <x v="2"/>
    <n v="18"/>
    <x v="8"/>
    <x v="102"/>
    <m/>
    <n v="448"/>
    <n v="15"/>
    <n v="32.99"/>
    <n v="0.40337"/>
    <n v="81.7859533430845"/>
    <x v="0"/>
  </r>
  <r>
    <n v="1"/>
    <s v="P117533143"/>
    <x v="91"/>
    <x v="0"/>
    <x v="2"/>
    <n v="19"/>
    <x v="14"/>
    <x v="103"/>
    <n v="414"/>
    <n v="399"/>
    <n v="15"/>
    <n v="33.9"/>
    <n v="0.40337"/>
    <n v="84.0419465998959"/>
    <x v="0"/>
  </r>
  <r>
    <n v="1"/>
    <s v="P117536473"/>
    <x v="92"/>
    <x v="0"/>
    <x v="2"/>
    <n v="19"/>
    <x v="3"/>
    <x v="104"/>
    <n v="592"/>
    <n v="577"/>
    <n v="15"/>
    <n v="42.63"/>
    <n v="0.40337"/>
    <n v="105.684607184471"/>
    <x v="0"/>
  </r>
  <r>
    <n v="1"/>
    <s v="P117549644"/>
    <x v="93"/>
    <x v="0"/>
    <x v="2"/>
    <n v="19"/>
    <x v="16"/>
    <x v="105"/>
    <n v="179"/>
    <n v="164"/>
    <n v="15"/>
    <n v="13.93"/>
    <n v="0.40337"/>
    <n v="34.534050623497"/>
    <x v="0"/>
  </r>
  <r>
    <n v="1"/>
    <s v="P117556789"/>
    <x v="94"/>
    <x v="0"/>
    <x v="2"/>
    <n v="20"/>
    <x v="32"/>
    <x v="106"/>
    <n v="380"/>
    <n v="186"/>
    <n v="15"/>
    <n v="15.87"/>
    <n v="0.40337"/>
    <n v="39.3435307534026"/>
    <x v="0"/>
  </r>
  <r>
    <n v="0"/>
    <m/>
    <x v="94"/>
    <x v="0"/>
    <x v="2"/>
    <n v="20"/>
    <x v="29"/>
    <x v="107"/>
    <m/>
    <n v="164"/>
    <n v="15"/>
    <n v="25.36"/>
    <n v="0.40337"/>
    <n v="62.8703175744354"/>
    <x v="0"/>
  </r>
  <r>
    <n v="1"/>
    <s v="P117569971"/>
    <x v="95"/>
    <x v="0"/>
    <x v="2"/>
    <n v="20"/>
    <x v="1"/>
    <x v="108"/>
    <n v="348"/>
    <n v="333"/>
    <n v="15"/>
    <n v="20.68"/>
    <n v="0.40337"/>
    <n v="51.2680665394055"/>
    <x v="0"/>
  </r>
  <r>
    <n v="1"/>
    <s v="P117571428"/>
    <x v="96"/>
    <x v="0"/>
    <x v="2"/>
    <n v="20"/>
    <x v="3"/>
    <x v="52"/>
    <n v="554"/>
    <n v="539"/>
    <n v="15"/>
    <n v="37.25"/>
    <n v="0.40337"/>
    <n v="92.3469767211245"/>
    <x v="0"/>
  </r>
  <r>
    <n v="1"/>
    <s v="P117572913"/>
    <x v="97"/>
    <x v="0"/>
    <x v="2"/>
    <n v="21"/>
    <x v="35"/>
    <x v="109"/>
    <n v="778"/>
    <n v="763"/>
    <n v="15"/>
    <n v="50.52"/>
    <n v="0.40337"/>
    <n v="125.244812455066"/>
    <x v="0"/>
  </r>
  <r>
    <n v="1"/>
    <s v="P117576155"/>
    <x v="98"/>
    <x v="0"/>
    <x v="2"/>
    <n v="21"/>
    <x v="23"/>
    <x v="94"/>
    <n v="206"/>
    <n v="191"/>
    <n v="15"/>
    <n v="22"/>
    <n v="0.40337"/>
    <n v="54.5404963185165"/>
    <x v="0"/>
  </r>
  <r>
    <n v="1"/>
    <s v="P117581221"/>
    <x v="99"/>
    <x v="0"/>
    <x v="2"/>
    <n v="21"/>
    <x v="1"/>
    <x v="110"/>
    <n v="3867"/>
    <n v="377"/>
    <n v="15"/>
    <n v="31.1"/>
    <n v="0.410812"/>
    <n v="75.7037282260499"/>
    <x v="0"/>
  </r>
  <r>
    <n v="0"/>
    <m/>
    <x v="99"/>
    <x v="0"/>
    <x v="2"/>
    <n v="21"/>
    <x v="1"/>
    <x v="110"/>
    <m/>
    <n v="377"/>
    <n v="15"/>
    <n v="31.1"/>
    <n v="0.410812"/>
    <n v="75.7037282260499"/>
    <x v="0"/>
  </r>
  <r>
    <n v="0"/>
    <m/>
    <x v="99"/>
    <x v="0"/>
    <x v="2"/>
    <n v="21"/>
    <x v="1"/>
    <x v="111"/>
    <m/>
    <n v="778"/>
    <n v="15"/>
    <n v="117.53"/>
    <n v="0.410812"/>
    <n v="286.09193499703"/>
    <x v="0"/>
  </r>
  <r>
    <n v="0"/>
    <m/>
    <x v="99"/>
    <x v="0"/>
    <x v="2"/>
    <n v="21"/>
    <x v="1"/>
    <x v="112"/>
    <m/>
    <n v="456"/>
    <n v="15"/>
    <n v="52.14"/>
    <n v="0.410812"/>
    <n v="126.919369443931"/>
    <x v="0"/>
  </r>
  <r>
    <n v="0"/>
    <m/>
    <x v="99"/>
    <x v="0"/>
    <x v="2"/>
    <n v="21"/>
    <x v="1"/>
    <x v="112"/>
    <m/>
    <n v="456"/>
    <n v="15"/>
    <n v="52.14"/>
    <n v="0.410812"/>
    <n v="126.919369443931"/>
    <x v="0"/>
  </r>
  <r>
    <n v="0"/>
    <m/>
    <x v="99"/>
    <x v="0"/>
    <x v="2"/>
    <n v="21"/>
    <x v="1"/>
    <x v="113"/>
    <m/>
    <n v="664"/>
    <n v="15"/>
    <n v="105.6"/>
    <n v="0.410812"/>
    <n v="257.051887481378"/>
    <x v="0"/>
  </r>
  <r>
    <n v="0"/>
    <m/>
    <x v="99"/>
    <x v="0"/>
    <x v="2"/>
    <n v="21"/>
    <x v="1"/>
    <x v="113"/>
    <m/>
    <n v="654"/>
    <n v="15"/>
    <n v="102.27"/>
    <n v="0.410812"/>
    <n v="248.945989893187"/>
    <x v="0"/>
  </r>
  <r>
    <n v="1"/>
    <s v="P117591523"/>
    <x v="100"/>
    <x v="0"/>
    <x v="2"/>
    <n v="22"/>
    <x v="9"/>
    <x v="114"/>
    <n v="494"/>
    <n v="479"/>
    <n v="15"/>
    <n v="23.45"/>
    <n v="0.40337"/>
    <n v="58.1352108486005"/>
    <x v="0"/>
  </r>
  <r>
    <n v="1"/>
    <s v="P117593609"/>
    <x v="101"/>
    <x v="0"/>
    <x v="2"/>
    <n v="22"/>
    <x v="32"/>
    <x v="115"/>
    <n v="346"/>
    <n v="190"/>
    <n v="15"/>
    <n v="25.29"/>
    <n v="0.40337"/>
    <n v="62.6967796316037"/>
    <x v="0"/>
  </r>
  <r>
    <n v="0"/>
    <m/>
    <x v="101"/>
    <x v="0"/>
    <x v="2"/>
    <n v="22"/>
    <x v="32"/>
    <x v="116"/>
    <m/>
    <n v="126"/>
    <n v="15"/>
    <n v="18.94"/>
    <n v="0.40337"/>
    <n v="46.9544091033047"/>
    <x v="0"/>
  </r>
  <r>
    <n v="1"/>
    <s v="P117600392"/>
    <x v="102"/>
    <x v="0"/>
    <x v="2"/>
    <n v="22"/>
    <x v="32"/>
    <x v="117"/>
    <n v="379"/>
    <n v="181"/>
    <n v="15"/>
    <n v="22.74"/>
    <n v="0.40337"/>
    <n v="56.3750402855939"/>
    <x v="0"/>
  </r>
  <r>
    <n v="0"/>
    <m/>
    <x v="102"/>
    <x v="0"/>
    <x v="2"/>
    <n v="22"/>
    <x v="32"/>
    <x v="87"/>
    <m/>
    <n v="168"/>
    <n v="15"/>
    <n v="22.58"/>
    <n v="0.40337"/>
    <n v="55.9783821305501"/>
    <x v="0"/>
  </r>
  <r>
    <n v="1"/>
    <s v="P117604020"/>
    <x v="103"/>
    <x v="0"/>
    <x v="2"/>
    <n v="22"/>
    <x v="32"/>
    <x v="118"/>
    <n v="165"/>
    <n v="150"/>
    <n v="15"/>
    <n v="12.14"/>
    <n v="0.40337"/>
    <n v="30.096437513945"/>
    <x v="0"/>
  </r>
  <r>
    <n v="1"/>
    <s v="P117608954"/>
    <x v="104"/>
    <x v="0"/>
    <x v="2"/>
    <n v="23"/>
    <x v="6"/>
    <x v="119"/>
    <n v="1937"/>
    <n v="797"/>
    <n v="15"/>
    <n v="79.58"/>
    <n v="0.410812"/>
    <n v="193.71391293341"/>
    <x v="0"/>
  </r>
  <r>
    <n v="0"/>
    <m/>
    <x v="104"/>
    <x v="0"/>
    <x v="2"/>
    <n v="23"/>
    <x v="36"/>
    <x v="120"/>
    <m/>
    <n v="360"/>
    <n v="15"/>
    <n v="28.33"/>
    <n v="0.410812"/>
    <n v="68.9609845866236"/>
    <x v="0"/>
  </r>
  <r>
    <n v="0"/>
    <m/>
    <x v="104"/>
    <x v="0"/>
    <x v="2"/>
    <n v="23"/>
    <x v="36"/>
    <x v="120"/>
    <m/>
    <n v="360"/>
    <n v="15"/>
    <n v="30.45"/>
    <n v="0.410812"/>
    <n v="74.1214959640906"/>
    <x v="0"/>
  </r>
  <r>
    <n v="0"/>
    <m/>
    <x v="104"/>
    <x v="0"/>
    <x v="2"/>
    <n v="23"/>
    <x v="36"/>
    <x v="120"/>
    <m/>
    <n v="360"/>
    <n v="15"/>
    <n v="25.99"/>
    <n v="0.410812"/>
    <n v="63.2649484435703"/>
    <x v="0"/>
  </r>
  <r>
    <n v="1"/>
    <s v="P117609455"/>
    <x v="105"/>
    <x v="0"/>
    <x v="2"/>
    <n v="23"/>
    <x v="32"/>
    <x v="121"/>
    <n v="186"/>
    <n v="171"/>
    <n v="15"/>
    <n v="14.08"/>
    <n v="0.40337"/>
    <n v="34.9059176438506"/>
    <x v="0"/>
  </r>
  <r>
    <n v="1"/>
    <s v="P117622649"/>
    <x v="106"/>
    <x v="0"/>
    <x v="2"/>
    <n v="23"/>
    <x v="32"/>
    <x v="87"/>
    <n v="187"/>
    <n v="172"/>
    <n v="15"/>
    <n v="12.97"/>
    <n v="0.40337"/>
    <n v="32.1541016932345"/>
    <x v="0"/>
  </r>
  <r>
    <n v="1"/>
    <s v="P117625181"/>
    <x v="107"/>
    <x v="0"/>
    <x v="2"/>
    <n v="24"/>
    <x v="2"/>
    <x v="122"/>
    <n v="374"/>
    <n v="359"/>
    <n v="15"/>
    <n v="24.17"/>
    <n v="0.410812"/>
    <n v="58.8346981100844"/>
    <x v="0"/>
  </r>
  <r>
    <n v="1"/>
    <s v="P117635418"/>
    <x v="108"/>
    <x v="0"/>
    <x v="2"/>
    <n v="24"/>
    <x v="37"/>
    <x v="123"/>
    <n v="292"/>
    <n v="142"/>
    <n v="15"/>
    <n v="9.71"/>
    <n v="0.410812"/>
    <n v="23.6361157901911"/>
    <x v="0"/>
  </r>
  <r>
    <n v="0"/>
    <m/>
    <x v="108"/>
    <x v="0"/>
    <x v="2"/>
    <n v="24"/>
    <x v="37"/>
    <x v="124"/>
    <m/>
    <n v="120"/>
    <n v="15"/>
    <n v="18.64"/>
    <n v="0.410812"/>
    <n v="45.3735528660312"/>
    <x v="0"/>
  </r>
  <r>
    <n v="1"/>
    <s v="P117636985"/>
    <x v="109"/>
    <x v="0"/>
    <x v="2"/>
    <n v="24"/>
    <x v="28"/>
    <x v="125"/>
    <n v="858"/>
    <n v="414"/>
    <n v="15"/>
    <n v="37.33"/>
    <n v="0.410812"/>
    <n v="90.8688159060592"/>
    <x v="0"/>
  </r>
  <r>
    <n v="0"/>
    <m/>
    <x v="109"/>
    <x v="0"/>
    <x v="2"/>
    <n v="24"/>
    <x v="28"/>
    <x v="125"/>
    <m/>
    <n v="414"/>
    <n v="15"/>
    <n v="37.33"/>
    <n v="0.410812"/>
    <n v="90.8688159060592"/>
    <x v="0"/>
  </r>
  <r>
    <n v="1"/>
    <s v="P117640747"/>
    <x v="110"/>
    <x v="0"/>
    <x v="2"/>
    <n v="25"/>
    <x v="2"/>
    <x v="126"/>
    <n v="389"/>
    <n v="374"/>
    <n v="15"/>
    <n v="20.66"/>
    <n v="0.40337"/>
    <n v="51.218484270025"/>
    <x v="0"/>
  </r>
  <r>
    <n v="1"/>
    <s v="P117644902"/>
    <x v="111"/>
    <x v="0"/>
    <x v="2"/>
    <n v="25"/>
    <x v="38"/>
    <x v="127"/>
    <n v="358"/>
    <n v="343"/>
    <n v="15"/>
    <n v="44.33"/>
    <n v="0.410812"/>
    <n v="107.90824026562"/>
    <x v="0"/>
  </r>
  <r>
    <n v="1"/>
    <s v="P117645416"/>
    <x v="112"/>
    <x v="0"/>
    <x v="2"/>
    <n v="25"/>
    <x v="29"/>
    <x v="128"/>
    <n v="167"/>
    <n v="152"/>
    <n v="15"/>
    <n v="13.22"/>
    <n v="0.40337"/>
    <n v="32.7738800604904"/>
    <x v="0"/>
  </r>
  <r>
    <n v="1"/>
    <s v="P117649583"/>
    <x v="113"/>
    <x v="0"/>
    <x v="2"/>
    <n v="26"/>
    <x v="24"/>
    <x v="70"/>
    <n v="544"/>
    <n v="529"/>
    <n v="15"/>
    <n v="35.26"/>
    <n v="0.410812"/>
    <n v="85.830014702589"/>
    <x v="0"/>
  </r>
  <r>
    <n v="1"/>
    <s v="P117656308"/>
    <x v="114"/>
    <x v="0"/>
    <x v="2"/>
    <n v="26"/>
    <x v="15"/>
    <x v="129"/>
    <n v="343"/>
    <n v="328"/>
    <n v="15"/>
    <n v="27.83"/>
    <n v="0.410812"/>
    <n v="67.7438828466549"/>
    <x v="0"/>
  </r>
  <r>
    <n v="1"/>
    <s v="P117658627"/>
    <x v="115"/>
    <x v="0"/>
    <x v="2"/>
    <n v="27"/>
    <x v="32"/>
    <x v="130"/>
    <n v="450"/>
    <n v="153"/>
    <n v="15"/>
    <n v="24.13"/>
    <n v="0.410812"/>
    <n v="58.7373299708869"/>
    <x v="0"/>
  </r>
  <r>
    <n v="0"/>
    <m/>
    <x v="115"/>
    <x v="0"/>
    <x v="2"/>
    <n v="27"/>
    <x v="37"/>
    <x v="131"/>
    <m/>
    <n v="125"/>
    <n v="15"/>
    <n v="27.72"/>
    <n v="0.410812"/>
    <n v="67.4761204638618"/>
    <x v="0"/>
  </r>
  <r>
    <n v="0"/>
    <m/>
    <x v="115"/>
    <x v="0"/>
    <x v="2"/>
    <n v="27"/>
    <x v="32"/>
    <x v="132"/>
    <m/>
    <n v="127"/>
    <n v="15"/>
    <n v="25.26"/>
    <n v="0.410812"/>
    <n v="61.4879799032161"/>
    <x v="0"/>
  </r>
  <r>
    <n v="1"/>
    <s v="P117662886"/>
    <x v="116"/>
    <x v="0"/>
    <x v="2"/>
    <n v="27"/>
    <x v="15"/>
    <x v="129"/>
    <n v="343"/>
    <n v="328"/>
    <n v="15"/>
    <n v="26.52"/>
    <n v="0.410812"/>
    <n v="64.5550762879371"/>
    <x v="0"/>
  </r>
  <r>
    <n v="1"/>
    <s v="P117671269"/>
    <x v="117"/>
    <x v="0"/>
    <x v="2"/>
    <n v="27"/>
    <x v="17"/>
    <x v="133"/>
    <n v="209"/>
    <n v="194"/>
    <n v="15"/>
    <n v="11.81"/>
    <n v="0.410812"/>
    <n v="28.7479430980595"/>
    <x v="0"/>
  </r>
  <r>
    <n v="1"/>
    <s v="P117672100"/>
    <x v="118"/>
    <x v="0"/>
    <x v="2"/>
    <n v="27"/>
    <x v="5"/>
    <x v="134"/>
    <n v="383"/>
    <n v="368"/>
    <n v="15"/>
    <n v="35.58"/>
    <n v="0.410812"/>
    <n v="86.608959816169"/>
    <x v="0"/>
  </r>
  <r>
    <n v="1"/>
    <s v="P117685824"/>
    <x v="119"/>
    <x v="0"/>
    <x v="2"/>
    <n v="28"/>
    <x v="1"/>
    <x v="135"/>
    <n v="515"/>
    <n v="500"/>
    <n v="15"/>
    <n v="45.31"/>
    <n v="0.410812"/>
    <n v="110.293759675959"/>
    <x v="0"/>
  </r>
  <r>
    <n v="1"/>
    <s v="P117689270"/>
    <x v="120"/>
    <x v="0"/>
    <x v="2"/>
    <n v="28"/>
    <x v="11"/>
    <x v="136"/>
    <n v="1193"/>
    <n v="1178"/>
    <n v="15"/>
    <n v="84.48"/>
    <n v="0.410812"/>
    <n v="205.641509985103"/>
    <x v="0"/>
  </r>
  <r>
    <n v="1"/>
    <s v="P117692532"/>
    <x v="121"/>
    <x v="0"/>
    <x v="2"/>
    <n v="29"/>
    <x v="14"/>
    <x v="137"/>
    <n v="788"/>
    <n v="379"/>
    <n v="15"/>
    <n v="44.04"/>
    <n v="0.410812"/>
    <n v="107.202321256438"/>
    <x v="0"/>
  </r>
  <r>
    <n v="0"/>
    <m/>
    <x v="121"/>
    <x v="0"/>
    <x v="2"/>
    <n v="29"/>
    <x v="14"/>
    <x v="137"/>
    <m/>
    <n v="379"/>
    <n v="15"/>
    <n v="44.04"/>
    <n v="0.410812"/>
    <n v="107.202321256438"/>
    <x v="0"/>
  </r>
  <r>
    <n v="1"/>
    <s v="P117702641"/>
    <x v="122"/>
    <x v="0"/>
    <x v="2"/>
    <n v="29"/>
    <x v="10"/>
    <x v="37"/>
    <n v="1672"/>
    <n v="404"/>
    <n v="10"/>
    <n v="31.12"/>
    <n v="0.410812"/>
    <n v="75.7524122956486"/>
    <x v="3"/>
  </r>
  <r>
    <n v="0"/>
    <m/>
    <x v="122"/>
    <x v="0"/>
    <x v="2"/>
    <n v="29"/>
    <x v="13"/>
    <x v="138"/>
    <m/>
    <n v="732"/>
    <n v="10"/>
    <n v="83.12"/>
    <n v="0.410812"/>
    <n v="202.330993252388"/>
    <x v="3"/>
  </r>
  <r>
    <n v="0"/>
    <m/>
    <x v="122"/>
    <x v="0"/>
    <x v="2"/>
    <n v="29"/>
    <x v="13"/>
    <x v="139"/>
    <m/>
    <n v="491"/>
    <n v="10"/>
    <n v="62.87"/>
    <n v="0.410812"/>
    <n v="153.038372783658"/>
    <x v="3"/>
  </r>
  <r>
    <n v="1"/>
    <s v="P117702641_CP_071"/>
    <x v="123"/>
    <x v="0"/>
    <x v="2"/>
    <n v="29"/>
    <x v="10"/>
    <x v="37"/>
    <n v="919.75"/>
    <n v="404"/>
    <n v="15"/>
    <n v="33.41"/>
    <n v="0.410812"/>
    <n v="81.326738264705"/>
    <x v="0"/>
  </r>
  <r>
    <n v="0"/>
    <m/>
    <x v="123"/>
    <x v="0"/>
    <x v="2"/>
    <n v="29"/>
    <x v="13"/>
    <x v="139"/>
    <m/>
    <n v="491"/>
    <n v="15"/>
    <n v="60.14"/>
    <n v="0.410812"/>
    <n v="146.392997283429"/>
    <x v="0"/>
  </r>
  <r>
    <n v="1"/>
    <s v="P117702641_CP_1212"/>
    <x v="124"/>
    <x v="0"/>
    <x v="2"/>
    <n v="29"/>
    <x v="13"/>
    <x v="138"/>
    <n v="752.25"/>
    <n v="732"/>
    <n v="15"/>
    <n v="63.69"/>
    <n v="0.410812"/>
    <n v="155.034419637206"/>
    <x v="2"/>
  </r>
  <r>
    <n v="1"/>
    <s v="P117706564"/>
    <x v="125"/>
    <x v="0"/>
    <x v="2"/>
    <n v="30"/>
    <x v="17"/>
    <x v="34"/>
    <n v="257"/>
    <n v="242"/>
    <n v="15"/>
    <n v="5.45"/>
    <n v="0.410812"/>
    <n v="13.2664089656583"/>
    <x v="0"/>
  </r>
  <r>
    <n v="1"/>
    <s v="P117717552"/>
    <x v="126"/>
    <x v="0"/>
    <x v="2"/>
    <n v="30"/>
    <x v="39"/>
    <x v="140"/>
    <n v="1067"/>
    <n v="321"/>
    <n v="15"/>
    <n v="30.66"/>
    <n v="0.410812"/>
    <n v="74.6326786948775"/>
    <x v="0"/>
  </r>
  <r>
    <n v="0"/>
    <m/>
    <x v="126"/>
    <x v="0"/>
    <x v="2"/>
    <n v="30"/>
    <x v="39"/>
    <x v="141"/>
    <m/>
    <n v="313"/>
    <n v="15"/>
    <n v="30.75"/>
    <n v="0.410812"/>
    <n v="74.8517570080718"/>
    <x v="0"/>
  </r>
  <r>
    <n v="0"/>
    <m/>
    <x v="126"/>
    <x v="0"/>
    <x v="2"/>
    <n v="30"/>
    <x v="38"/>
    <x v="142"/>
    <m/>
    <n v="388"/>
    <n v="15"/>
    <n v="68.07"/>
    <n v="0.410812"/>
    <n v="165.696230879332"/>
    <x v="0"/>
  </r>
  <r>
    <n v="1"/>
    <s v="P117720948"/>
    <x v="127"/>
    <x v="0"/>
    <x v="2"/>
    <n v="30"/>
    <x v="32"/>
    <x v="143"/>
    <n v="334"/>
    <n v="319"/>
    <n v="15"/>
    <n v="24.51"/>
    <n v="0.410812"/>
    <n v="59.6623272932631"/>
    <x v="0"/>
  </r>
  <r>
    <n v="1"/>
    <s v="P117734344"/>
    <x v="128"/>
    <x v="0"/>
    <x v="2"/>
    <n v="31"/>
    <x v="26"/>
    <x v="144"/>
    <n v="1160"/>
    <n v="565"/>
    <n v="0"/>
    <n v="55.19"/>
    <n v="0.410812"/>
    <n v="134.343690057739"/>
    <x v="2"/>
  </r>
  <r>
    <n v="0"/>
    <m/>
    <x v="128"/>
    <x v="0"/>
    <x v="2"/>
    <n v="31"/>
    <x v="26"/>
    <x v="144"/>
    <m/>
    <n v="565"/>
    <n v="0"/>
    <n v="55.19"/>
    <n v="0.410812"/>
    <n v="134.343690057739"/>
    <x v="2"/>
  </r>
  <r>
    <n v="1"/>
    <s v="P117738195"/>
    <x v="129"/>
    <x v="1"/>
    <x v="3"/>
    <n v="1"/>
    <x v="4"/>
    <x v="15"/>
    <n v="314"/>
    <n v="299"/>
    <n v="15"/>
    <n v="19.97"/>
    <n v="0.410812"/>
    <n v="48.6110434943478"/>
    <x v="0"/>
  </r>
  <r>
    <n v="1"/>
    <s v="P117740071"/>
    <x v="130"/>
    <x v="1"/>
    <x v="3"/>
    <n v="1"/>
    <x v="2"/>
    <x v="145"/>
    <n v="309"/>
    <n v="294"/>
    <n v="15"/>
    <n v="8.15"/>
    <n v="0.410812"/>
    <n v="19.838758361489"/>
    <x v="0"/>
  </r>
  <r>
    <n v="1"/>
    <s v="P117743355"/>
    <x v="131"/>
    <x v="1"/>
    <x v="3"/>
    <n v="1"/>
    <x v="40"/>
    <x v="146"/>
    <n v="1234"/>
    <n v="745"/>
    <n v="15"/>
    <n v="76.04"/>
    <n v="0.410812"/>
    <n v="185.096832614432"/>
    <x v="0"/>
  </r>
  <r>
    <n v="0"/>
    <m/>
    <x v="131"/>
    <x v="1"/>
    <x v="3"/>
    <n v="1"/>
    <x v="31"/>
    <x v="147"/>
    <m/>
    <n v="459"/>
    <n v="15"/>
    <n v="29.5"/>
    <n v="0.410812"/>
    <n v="71.8090026581502"/>
    <x v="0"/>
  </r>
  <r>
    <n v="1"/>
    <s v="P117743704"/>
    <x v="132"/>
    <x v="1"/>
    <x v="3"/>
    <n v="1"/>
    <x v="1"/>
    <x v="1"/>
    <n v="704"/>
    <n v="689"/>
    <n v="15"/>
    <n v="64.16"/>
    <n v="0.410812"/>
    <n v="156.178495272777"/>
    <x v="0"/>
  </r>
  <r>
    <n v="1"/>
    <s v="P117747860"/>
    <x v="133"/>
    <x v="1"/>
    <x v="3"/>
    <n v="2"/>
    <x v="6"/>
    <x v="148"/>
    <n v="937"/>
    <n v="922"/>
    <n v="15"/>
    <n v="69.7"/>
    <n v="0.410812"/>
    <n v="169.663982551629"/>
    <x v="4"/>
  </r>
  <r>
    <n v="1"/>
    <s v="P117755512"/>
    <x v="134"/>
    <x v="1"/>
    <x v="3"/>
    <n v="3"/>
    <x v="23"/>
    <x v="149"/>
    <n v="203"/>
    <n v="188"/>
    <n v="15"/>
    <n v="20.26"/>
    <n v="0.410812"/>
    <n v="49.3169625035296"/>
    <x v="4"/>
  </r>
  <r>
    <n v="1"/>
    <s v="P117762142"/>
    <x v="135"/>
    <x v="1"/>
    <x v="3"/>
    <n v="3"/>
    <x v="37"/>
    <x v="150"/>
    <n v="204"/>
    <n v="189"/>
    <n v="15"/>
    <n v="26.38"/>
    <n v="0.410812"/>
    <n v="64.2142878007458"/>
    <x v="0"/>
  </r>
  <r>
    <n v="1"/>
    <s v="P117770121"/>
    <x v="136"/>
    <x v="1"/>
    <x v="3"/>
    <n v="3"/>
    <x v="18"/>
    <x v="99"/>
    <n v="785"/>
    <n v="770"/>
    <n v="15"/>
    <n v="46.93"/>
    <n v="0.410812"/>
    <n v="114.237169313457"/>
    <x v="4"/>
  </r>
  <r>
    <n v="1"/>
    <s v="P117772105"/>
    <x v="137"/>
    <x v="1"/>
    <x v="3"/>
    <n v="4"/>
    <x v="9"/>
    <x v="151"/>
    <n v="498"/>
    <n v="483"/>
    <n v="0"/>
    <n v="45.04"/>
    <n v="0.410812"/>
    <n v="109.636524736376"/>
    <x v="2"/>
  </r>
  <r>
    <n v="1"/>
    <s v="P117782855"/>
    <x v="138"/>
    <x v="1"/>
    <x v="3"/>
    <n v="4"/>
    <x v="2"/>
    <x v="152"/>
    <n v="365"/>
    <n v="350"/>
    <n v="15"/>
    <n v="31.22"/>
    <n v="0.410812"/>
    <n v="75.9958326436424"/>
    <x v="0"/>
  </r>
  <r>
    <n v="1"/>
    <s v="P117790769"/>
    <x v="139"/>
    <x v="1"/>
    <x v="3"/>
    <n v="5"/>
    <x v="32"/>
    <x v="87"/>
    <n v="183"/>
    <n v="168"/>
    <n v="15"/>
    <n v="12.37"/>
    <n v="0.410812"/>
    <n v="30.1110970468243"/>
    <x v="0"/>
  </r>
  <r>
    <n v="1"/>
    <s v="P117795440"/>
    <x v="140"/>
    <x v="1"/>
    <x v="3"/>
    <n v="5"/>
    <x v="32"/>
    <x v="115"/>
    <n v="164"/>
    <n v="149"/>
    <n v="15"/>
    <n v="12.36"/>
    <n v="0.410812"/>
    <n v="30.086755012025"/>
    <x v="0"/>
  </r>
  <r>
    <n v="1"/>
    <s v="P117797812"/>
    <x v="141"/>
    <x v="1"/>
    <x v="3"/>
    <n v="5"/>
    <x v="41"/>
    <x v="153"/>
    <n v="195"/>
    <n v="180"/>
    <n v="15"/>
    <n v="25.27"/>
    <n v="0.410812"/>
    <n v="61.5123219380154"/>
    <x v="0"/>
  </r>
  <r>
    <n v="1"/>
    <s v="P117802665"/>
    <x v="142"/>
    <x v="1"/>
    <x v="3"/>
    <n v="5"/>
    <x v="29"/>
    <x v="154"/>
    <n v="665"/>
    <n v="197"/>
    <n v="15"/>
    <n v="36.37"/>
    <n v="0.410812"/>
    <n v="88.5319805653194"/>
    <x v="5"/>
  </r>
  <r>
    <n v="0"/>
    <m/>
    <x v="142"/>
    <x v="1"/>
    <x v="3"/>
    <n v="5"/>
    <x v="32"/>
    <x v="155"/>
    <m/>
    <n v="157"/>
    <n v="15"/>
    <n v="26.28"/>
    <n v="0.410812"/>
    <n v="63.9708674527521"/>
    <x v="5"/>
  </r>
  <r>
    <n v="0"/>
    <m/>
    <x v="142"/>
    <x v="1"/>
    <x v="3"/>
    <n v="5"/>
    <x v="32"/>
    <x v="156"/>
    <m/>
    <n v="266"/>
    <n v="15"/>
    <n v="44.3"/>
    <n v="0.410812"/>
    <n v="107.835214161222"/>
    <x v="5"/>
  </r>
  <r>
    <n v="1"/>
    <s v="P117808441"/>
    <x v="143"/>
    <x v="1"/>
    <x v="3"/>
    <n v="6"/>
    <x v="32"/>
    <x v="87"/>
    <n v="183"/>
    <n v="168"/>
    <n v="15"/>
    <n v="12.2"/>
    <n v="0.410812"/>
    <n v="29.697282455235"/>
    <x v="0"/>
  </r>
  <r>
    <n v="1"/>
    <s v="P117821317"/>
    <x v="144"/>
    <x v="1"/>
    <x v="3"/>
    <n v="7"/>
    <x v="39"/>
    <x v="141"/>
    <n v="325"/>
    <n v="310"/>
    <n v="15"/>
    <n v="17.55"/>
    <n v="0.410812"/>
    <n v="42.7202710728995"/>
    <x v="0"/>
  </r>
  <r>
    <n v="1"/>
    <s v="P117826005"/>
    <x v="145"/>
    <x v="1"/>
    <x v="3"/>
    <n v="7"/>
    <x v="32"/>
    <x v="157"/>
    <n v="202"/>
    <n v="187"/>
    <n v="15"/>
    <n v="14.58"/>
    <n v="0.410812"/>
    <n v="35.4906867374858"/>
    <x v="0"/>
  </r>
  <r>
    <n v="1"/>
    <s v="P117828940"/>
    <x v="146"/>
    <x v="1"/>
    <x v="3"/>
    <n v="7"/>
    <x v="37"/>
    <x v="158"/>
    <n v="546"/>
    <n v="173"/>
    <n v="15"/>
    <n v="29.31"/>
    <n v="0.410812"/>
    <n v="71.3465039969621"/>
    <x v="6"/>
  </r>
  <r>
    <n v="0"/>
    <m/>
    <x v="146"/>
    <x v="1"/>
    <x v="3"/>
    <n v="7"/>
    <x v="37"/>
    <x v="158"/>
    <m/>
    <n v="179"/>
    <n v="15"/>
    <n v="28.06"/>
    <n v="0.410812"/>
    <n v="68.3037496470405"/>
    <x v="6"/>
  </r>
  <r>
    <n v="0"/>
    <m/>
    <x v="146"/>
    <x v="1"/>
    <x v="3"/>
    <n v="7"/>
    <x v="37"/>
    <x v="159"/>
    <m/>
    <n v="149"/>
    <n v="15"/>
    <n v="30.8"/>
    <n v="0.410812"/>
    <n v="74.9734671820687"/>
    <x v="6"/>
  </r>
  <r>
    <n v="1"/>
    <s v="P117832567"/>
    <x v="147"/>
    <x v="1"/>
    <x v="3"/>
    <n v="8"/>
    <x v="37"/>
    <x v="160"/>
    <n v="140"/>
    <n v="125"/>
    <n v="15"/>
    <n v="9.27"/>
    <n v="0.410812"/>
    <n v="22.5650662590187"/>
    <x v="4"/>
  </r>
  <r>
    <n v="1"/>
    <s v="P117842249"/>
    <x v="148"/>
    <x v="1"/>
    <x v="3"/>
    <n v="8"/>
    <x v="11"/>
    <x v="161"/>
    <n v="454"/>
    <n v="439"/>
    <n v="15"/>
    <n v="39.44"/>
    <n v="0.410812"/>
    <n v="96.0049852487269"/>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7" cacheId="0" autoFormatId="1" applyNumberFormats="0" applyBorderFormats="0" applyFontFormats="0" applyPatternFormats="0" applyAlignmentFormats="0" applyWidthHeightFormats="1" dataCaption="值" updatedVersion="5" minRefreshableVersion="3" createdVersion="5" indent="0" outline="1" outlineData="1" showDrill="1" multipleFieldFilters="0" rowHeaderCaption="物流状态" chartFormat="23">
  <location ref="A23:C29" firstHeaderRow="1" firstDataRow="2" firstDataCol="1"/>
  <pivotFields count="20">
    <pivotField defaultSubtotal="0" showAll="0"/>
    <pivotField showAll="0"/>
    <pivotField showAll="0">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pivotField>
    <pivotField showAll="0">
      <items count="3">
        <item x="0"/>
        <item x="1"/>
        <item t="default"/>
      </items>
    </pivotField>
    <pivotField showAll="0">
      <items count="5">
        <item h="1" x="3"/>
        <item h="1" x="0"/>
        <item x="1"/>
        <item x="2"/>
        <item t="default"/>
      </items>
    </pivotField>
    <pivotField showAll="0"/>
    <pivotField showAll="0">
      <items count="43">
        <item x="38"/>
        <item x="34"/>
        <item x="29"/>
        <item x="17"/>
        <item x="16"/>
        <item x="30"/>
        <item x="21"/>
        <item x="32"/>
        <item x="5"/>
        <item x="22"/>
        <item x="11"/>
        <item x="1"/>
        <item x="31"/>
        <item x="41"/>
        <item x="27"/>
        <item x="23"/>
        <item x="13"/>
        <item x="40"/>
        <item x="25"/>
        <item x="26"/>
        <item x="39"/>
        <item x="36"/>
        <item x="10"/>
        <item x="9"/>
        <item x="12"/>
        <item x="33"/>
        <item x="2"/>
        <item x="19"/>
        <item x="14"/>
        <item x="24"/>
        <item x="20"/>
        <item x="35"/>
        <item x="37"/>
        <item x="6"/>
        <item x="15"/>
        <item x="18"/>
        <item x="3"/>
        <item x="28"/>
        <item x="4"/>
        <item x="8"/>
        <item x="0"/>
        <item x="7"/>
        <item t="default"/>
      </items>
    </pivotField>
    <pivotField showAll="0">
      <items count="163">
        <item x="145"/>
        <item x="133"/>
        <item x="6"/>
        <item x="129"/>
        <item x="100"/>
        <item x="119"/>
        <item x="99"/>
        <item x="18"/>
        <item x="81"/>
        <item x="46"/>
        <item x="138"/>
        <item x="144"/>
        <item x="40"/>
        <item x="28"/>
        <item x="42"/>
        <item x="69"/>
        <item x="21"/>
        <item x="125"/>
        <item x="37"/>
        <item x="113"/>
        <item x="68"/>
        <item x="60"/>
        <item x="66"/>
        <item x="1"/>
        <item x="17"/>
        <item x="142"/>
        <item x="93"/>
        <item x="49"/>
        <item x="48"/>
        <item x="56"/>
        <item x="19"/>
        <item x="34"/>
        <item x="44"/>
        <item x="111"/>
        <item x="83"/>
        <item x="76"/>
        <item x="70"/>
        <item x="54"/>
        <item x="123"/>
        <item x="26"/>
        <item x="112"/>
        <item x="86"/>
        <item x="97"/>
        <item x="147"/>
        <item x="77"/>
        <item x="89"/>
        <item x="106"/>
        <item x="31"/>
        <item x="109"/>
        <item x="35"/>
        <item x="152"/>
        <item x="39"/>
        <item x="127"/>
        <item x="84"/>
        <item x="10"/>
        <item x="105"/>
        <item x="4"/>
        <item x="88"/>
        <item x="64"/>
        <item x="25"/>
        <item x="33"/>
        <item x="126"/>
        <item x="161"/>
        <item x="130"/>
        <item x="132"/>
        <item x="116"/>
        <item x="156"/>
        <item x="30"/>
        <item x="160"/>
        <item x="135"/>
        <item x="90"/>
        <item x="51"/>
        <item x="92"/>
        <item x="52"/>
        <item x="104"/>
        <item x="107"/>
        <item x="79"/>
        <item x="117"/>
        <item x="114"/>
        <item x="146"/>
        <item x="80"/>
        <item x="121"/>
        <item x="71"/>
        <item x="143"/>
        <item x="29"/>
        <item x="136"/>
        <item x="15"/>
        <item x="158"/>
        <item x="85"/>
        <item x="75"/>
        <item x="50"/>
        <item x="128"/>
        <item x="154"/>
        <item x="47"/>
        <item x="151"/>
        <item x="153"/>
        <item x="139"/>
        <item x="20"/>
        <item x="72"/>
        <item x="74"/>
        <item x="65"/>
        <item x="63"/>
        <item x="141"/>
        <item x="140"/>
        <item x="13"/>
        <item x="82"/>
        <item x="101"/>
        <item x="94"/>
        <item x="67"/>
        <item x="149"/>
        <item x="73"/>
        <item x="0"/>
        <item x="96"/>
        <item x="91"/>
        <item x="41"/>
        <item x="148"/>
        <item x="12"/>
        <item x="7"/>
        <item x="159"/>
        <item x="110"/>
        <item x="95"/>
        <item x="150"/>
        <item x="53"/>
        <item x="62"/>
        <item x="157"/>
        <item x="78"/>
        <item x="32"/>
        <item x="24"/>
        <item x="3"/>
        <item x="118"/>
        <item x="87"/>
        <item x="27"/>
        <item x="131"/>
        <item x="115"/>
        <item x="11"/>
        <item x="16"/>
        <item x="122"/>
        <item x="8"/>
        <item x="9"/>
        <item x="2"/>
        <item x="14"/>
        <item x="137"/>
        <item x="103"/>
        <item x="22"/>
        <item x="57"/>
        <item x="45"/>
        <item x="120"/>
        <item x="102"/>
        <item x="23"/>
        <item x="59"/>
        <item x="155"/>
        <item x="58"/>
        <item x="108"/>
        <item x="61"/>
        <item x="38"/>
        <item x="98"/>
        <item x="43"/>
        <item x="124"/>
        <item x="36"/>
        <item x="55"/>
        <item x="134"/>
        <item x="5"/>
        <item t="default"/>
      </items>
    </pivotField>
    <pivotField showAll="0"/>
    <pivotField showAll="0"/>
    <pivotField showAll="0"/>
    <pivotField numFmtId="176" showAll="0"/>
    <pivotField numFmtId="181" showAll="0"/>
    <pivotField numFmtId="182" showAll="0"/>
    <pivotField axis="axisRow" dataField="1" showAll="0">
      <items count="8">
        <item x="6"/>
        <item x="5"/>
        <item x="4"/>
        <item x="3"/>
        <item x="0"/>
        <item x="1"/>
        <item x="2"/>
        <item t="default"/>
      </items>
    </pivotField>
    <pivotField dataField="1" dragToCol="0" dragToPage="0" dragToRow="0" defaultSubtotal="0" showAll="0"/>
    <pivotField dragToCol="0" dragToPage="0" dragToRow="0" defaultSubtotal="0" showAll="0"/>
    <pivotField dragToCol="0" dragToPage="0" dragToRow="0" defaultSubtotal="0" showAll="0"/>
    <pivotField dragToCol="0" dragToPage="0" dragToRow="0" defaultSubtotal="0" showAll="0"/>
    <pivotField dragToCol="0" dragToPage="0" dragToRow="0" defaultSubtotal="0" showAll="0"/>
  </pivotFields>
  <rowFields count="1">
    <field x="14"/>
  </rowFields>
  <rowItems count="5">
    <i>
      <x v="3"/>
    </i>
    <i>
      <x v="4"/>
    </i>
    <i>
      <x v="5"/>
    </i>
    <i>
      <x v="6"/>
    </i>
    <i t="grand">
      <x/>
    </i>
  </rowItems>
  <colFields count="1">
    <field x="-2"/>
  </colFields>
  <colItems count="2">
    <i>
      <x/>
    </i>
    <i i="1">
      <x v="1"/>
    </i>
  </colItems>
  <dataFields count="2">
    <dataField name="求和项:销售额" fld="15" baseField="0" baseItem="0"/>
    <dataField name="计数" fld="14" subtotal="count" baseField="0" baseItem="0"/>
  </dataFields>
  <formats count="2">
    <format dxfId="0">
      <pivotArea fieldPosition="0"/>
    </format>
    <format dxfId="1">
      <pivotArea dataOnly="0" labelOnly="1" fieldPosition="0"/>
    </format>
  </formats>
  <pivotTableStyleInfo name="PivotStyleLight16" showRowHeaders="1" showColHeaders="1" showLastColumn="1"/>
</pivotTableDefinition>
</file>

<file path=xl/pivotTables/pivotTable2.xml><?xml version="1.0" encoding="utf-8"?>
<pivotTableDefinition xmlns="http://schemas.openxmlformats.org/spreadsheetml/2006/main" name="数据透视表6" cacheId="0" autoFormatId="1" applyNumberFormats="0" applyBorderFormats="0" applyFontFormats="0" applyPatternFormats="0" applyAlignmentFormats="0" applyWidthHeightFormats="1" dataCaption="值" updatedVersion="5" minRefreshableVersion="3" createdVersion="5" indent="0" outline="1" outlineData="1" showDrill="1" multipleFieldFilters="0" rowHeaderCaption="产品分类" chartFormat="15">
  <location ref="E3:G44" firstHeaderRow="1" firstDataRow="2" firstDataCol="1"/>
  <pivotFields count="20">
    <pivotField defaultSubtotal="0" showAll="0"/>
    <pivotField showAll="0"/>
    <pivotField dataField="1" showAll="0">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pivotField>
    <pivotField showAll="0">
      <items count="3">
        <item x="0"/>
        <item x="1"/>
        <item t="default"/>
      </items>
    </pivotField>
    <pivotField showAll="0">
      <items count="5">
        <item h="1" x="3"/>
        <item h="1" x="0"/>
        <item x="1"/>
        <item x="2"/>
        <item t="default"/>
      </items>
    </pivotField>
    <pivotField showAll="0"/>
    <pivotField axis="axisRow" sumSubtotal="1" showAll="0">
      <items count="43">
        <item x="38"/>
        <item x="34"/>
        <item x="29"/>
        <item x="17"/>
        <item x="16"/>
        <item x="30"/>
        <item x="21"/>
        <item x="32"/>
        <item x="5"/>
        <item x="22"/>
        <item x="11"/>
        <item x="1"/>
        <item x="31"/>
        <item x="41"/>
        <item x="27"/>
        <item x="23"/>
        <item x="13"/>
        <item x="40"/>
        <item x="25"/>
        <item x="26"/>
        <item x="39"/>
        <item x="36"/>
        <item x="10"/>
        <item x="9"/>
        <item x="12"/>
        <item x="33"/>
        <item x="2"/>
        <item x="19"/>
        <item x="14"/>
        <item x="24"/>
        <item x="20"/>
        <item x="35"/>
        <item x="37"/>
        <item x="6"/>
        <item x="15"/>
        <item x="18"/>
        <item x="3"/>
        <item x="28"/>
        <item x="4"/>
        <item x="8"/>
        <item x="0"/>
        <item x="7"/>
        <item t="sum"/>
      </items>
    </pivotField>
    <pivotField showAll="0">
      <items count="163">
        <item x="145"/>
        <item x="133"/>
        <item x="6"/>
        <item x="129"/>
        <item x="100"/>
        <item x="119"/>
        <item x="99"/>
        <item x="18"/>
        <item x="81"/>
        <item x="46"/>
        <item x="138"/>
        <item x="144"/>
        <item x="40"/>
        <item x="28"/>
        <item x="42"/>
        <item x="69"/>
        <item x="21"/>
        <item x="125"/>
        <item x="37"/>
        <item x="113"/>
        <item x="68"/>
        <item x="60"/>
        <item x="66"/>
        <item x="1"/>
        <item x="17"/>
        <item x="142"/>
        <item x="93"/>
        <item x="49"/>
        <item x="48"/>
        <item x="56"/>
        <item x="19"/>
        <item x="34"/>
        <item x="44"/>
        <item x="111"/>
        <item x="83"/>
        <item x="76"/>
        <item x="70"/>
        <item x="54"/>
        <item x="123"/>
        <item x="26"/>
        <item x="112"/>
        <item x="86"/>
        <item x="97"/>
        <item x="147"/>
        <item x="77"/>
        <item x="89"/>
        <item x="106"/>
        <item x="31"/>
        <item x="109"/>
        <item x="35"/>
        <item x="152"/>
        <item x="39"/>
        <item x="127"/>
        <item x="84"/>
        <item x="10"/>
        <item x="105"/>
        <item x="4"/>
        <item x="88"/>
        <item x="64"/>
        <item x="25"/>
        <item x="33"/>
        <item x="126"/>
        <item x="161"/>
        <item x="130"/>
        <item x="132"/>
        <item x="116"/>
        <item x="156"/>
        <item x="30"/>
        <item x="160"/>
        <item x="135"/>
        <item x="90"/>
        <item x="51"/>
        <item x="92"/>
        <item x="52"/>
        <item x="104"/>
        <item x="107"/>
        <item x="79"/>
        <item x="117"/>
        <item x="114"/>
        <item x="146"/>
        <item x="80"/>
        <item x="121"/>
        <item x="71"/>
        <item x="143"/>
        <item x="29"/>
        <item x="136"/>
        <item x="15"/>
        <item x="158"/>
        <item x="85"/>
        <item x="75"/>
        <item x="50"/>
        <item x="128"/>
        <item x="154"/>
        <item x="47"/>
        <item x="151"/>
        <item x="153"/>
        <item x="139"/>
        <item x="20"/>
        <item x="72"/>
        <item x="74"/>
        <item x="65"/>
        <item x="63"/>
        <item x="141"/>
        <item x="140"/>
        <item x="13"/>
        <item x="82"/>
        <item x="101"/>
        <item x="94"/>
        <item x="67"/>
        <item x="149"/>
        <item x="73"/>
        <item x="0"/>
        <item x="96"/>
        <item x="91"/>
        <item x="41"/>
        <item x="148"/>
        <item x="12"/>
        <item x="7"/>
        <item x="159"/>
        <item x="110"/>
        <item x="95"/>
        <item x="150"/>
        <item x="53"/>
        <item x="62"/>
        <item x="157"/>
        <item x="78"/>
        <item x="32"/>
        <item x="24"/>
        <item x="3"/>
        <item x="118"/>
        <item x="87"/>
        <item x="27"/>
        <item x="131"/>
        <item x="115"/>
        <item x="11"/>
        <item x="16"/>
        <item x="122"/>
        <item x="8"/>
        <item x="9"/>
        <item x="2"/>
        <item x="14"/>
        <item x="137"/>
        <item x="103"/>
        <item x="22"/>
        <item x="57"/>
        <item x="45"/>
        <item x="120"/>
        <item x="102"/>
        <item x="23"/>
        <item x="59"/>
        <item x="155"/>
        <item x="58"/>
        <item x="108"/>
        <item x="61"/>
        <item x="38"/>
        <item x="98"/>
        <item x="43"/>
        <item x="124"/>
        <item x="36"/>
        <item x="55"/>
        <item x="134"/>
        <item x="5"/>
        <item t="default"/>
      </items>
    </pivotField>
    <pivotField showAll="0"/>
    <pivotField showAll="0"/>
    <pivotField showAll="0"/>
    <pivotField showAll="0"/>
    <pivotField showAll="0"/>
    <pivotField showAll="0"/>
    <pivotField showAll="0">
      <items count="8">
        <item x="6"/>
        <item x="5"/>
        <item x="4"/>
        <item x="3"/>
        <item x="0"/>
        <item x="1"/>
        <item x="2"/>
        <item t="default"/>
      </items>
    </pivotField>
    <pivotField dataField="1" dragToCol="0" dragToPage="0" dragToRow="0" defaultSubtotal="0" showAll="0"/>
    <pivotField dragToCol="0" dragToPage="0" dragToRow="0" defaultSubtotal="0" showAll="0"/>
    <pivotField dragToCol="0" dragToPage="0" dragToRow="0" defaultSubtotal="0" showAll="0"/>
    <pivotField dragToCol="0" dragToPage="0" dragToRow="0" defaultSubtotal="0" showAll="0"/>
    <pivotField dragToCol="0" dragToPage="0" dragToRow="0" defaultSubtotal="0" showAll="0"/>
  </pivotFields>
  <rowFields count="1">
    <field x="6"/>
  </rowFields>
  <rowItems count="40">
    <i>
      <x/>
    </i>
    <i>
      <x v="1"/>
    </i>
    <i>
      <x v="2"/>
    </i>
    <i>
      <x v="3"/>
    </i>
    <i>
      <x v="4"/>
    </i>
    <i>
      <x v="5"/>
    </i>
    <i>
      <x v="6"/>
    </i>
    <i>
      <x v="7"/>
    </i>
    <i>
      <x v="8"/>
    </i>
    <i>
      <x v="9"/>
    </i>
    <i>
      <x v="10"/>
    </i>
    <i>
      <x v="11"/>
    </i>
    <i>
      <x v="12"/>
    </i>
    <i>
      <x v="14"/>
    </i>
    <i>
      <x v="15"/>
    </i>
    <i>
      <x v="16"/>
    </i>
    <i>
      <x v="18"/>
    </i>
    <i>
      <x v="19"/>
    </i>
    <i>
      <x v="20"/>
    </i>
    <i>
      <x v="21"/>
    </i>
    <i>
      <x v="22"/>
    </i>
    <i>
      <x v="23"/>
    </i>
    <i>
      <x v="24"/>
    </i>
    <i>
      <x v="25"/>
    </i>
    <i>
      <x v="26"/>
    </i>
    <i>
      <x v="27"/>
    </i>
    <i>
      <x v="28"/>
    </i>
    <i>
      <x v="29"/>
    </i>
    <i>
      <x v="30"/>
    </i>
    <i>
      <x v="31"/>
    </i>
    <i>
      <x v="32"/>
    </i>
    <i>
      <x v="33"/>
    </i>
    <i>
      <x v="34"/>
    </i>
    <i>
      <x v="35"/>
    </i>
    <i>
      <x v="36"/>
    </i>
    <i>
      <x v="37"/>
    </i>
    <i>
      <x v="38"/>
    </i>
    <i>
      <x v="39"/>
    </i>
    <i>
      <x v="41"/>
    </i>
    <i t="grand">
      <x/>
    </i>
  </rowItems>
  <colFields count="1">
    <field x="-2"/>
  </colFields>
  <colItems count="2">
    <i>
      <x/>
    </i>
    <i i="1">
      <x v="1"/>
    </i>
  </colItems>
  <dataFields count="2">
    <dataField name="求和项:销售额" fld="15" baseField="0" baseItem="0" numFmtId="176"/>
    <dataField name="计数项:订单号" fld="2" subtotal="count" baseField="0" baseItem="0"/>
  </dataFields>
  <formats count="6">
    <format dxfId="2">
      <pivotArea grandRow="1" fieldPosition="0"/>
    </format>
    <format dxfId="3">
      <pivotArea dataOnly="0" labelOnly="1" fieldPosition="0"/>
    </format>
    <format dxfId="4">
      <pivotArea dataOnly="0" labelOnly="1" fieldPosition="0"/>
    </format>
    <format dxfId="5">
      <pivotArea fieldPosition="0"/>
    </format>
    <format dxfId="6">
      <pivotArea dataOnly="0" labelOnly="1" fieldPosition="0"/>
    </format>
    <format dxfId="7">
      <pivotArea outline="0" collapsedLevelsAreSubtotals="1" fieldPosition="0">
        <references count="1">
          <reference field="4294967294" count="1" selected="0">
            <x v="1"/>
          </reference>
        </references>
      </pivotArea>
    </format>
  </formats>
  <pivotTableStyleInfo name="PivotStyleLight16" showRowHeaders="1" showColHeaders="1" showLastColumn="1"/>
</pivotTableDefinition>
</file>

<file path=xl/pivotTables/pivotTable3.xml><?xml version="1.0" encoding="utf-8"?>
<pivotTableDefinition xmlns="http://schemas.openxmlformats.org/spreadsheetml/2006/main" name="数据透视表5" cacheId="0" autoFormatId="1" applyNumberFormats="0" applyBorderFormats="0" applyFontFormats="0" applyPatternFormats="0" applyAlignmentFormats="0" applyWidthHeightFormats="1" dataCaption="值" updatedVersion="5" minRefreshableVersion="3" createdVersion="5" rowGrandTotals="0" indent="0" outline="1" outlineData="1" showDrill="1" multipleFieldFilters="0" rowHeaderCaption="日期" chartFormat="12">
  <location ref="A12:C16" firstHeaderRow="1" firstDataRow="2" firstDataCol="1"/>
  <pivotFields count="20">
    <pivotField defaultSubtotal="0" showAll="0"/>
    <pivotField dataField="1" showAll="0"/>
    <pivotField showAll="0">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pivotField>
    <pivotField axis="axisRow" showAll="0">
      <items count="3">
        <item x="0"/>
        <item x="1"/>
        <item t="default"/>
      </items>
    </pivotField>
    <pivotField axis="axisRow" showAll="0">
      <items count="5">
        <item h="1" x="3"/>
        <item h="1" x="0"/>
        <item x="1"/>
        <item x="2"/>
        <item t="default"/>
      </items>
    </pivotField>
    <pivotField showAll="0"/>
    <pivotField showAll="0">
      <items count="43">
        <item x="38"/>
        <item x="34"/>
        <item x="29"/>
        <item x="17"/>
        <item x="16"/>
        <item x="30"/>
        <item x="21"/>
        <item x="32"/>
        <item x="5"/>
        <item x="22"/>
        <item x="11"/>
        <item x="1"/>
        <item x="31"/>
        <item x="41"/>
        <item x="27"/>
        <item x="23"/>
        <item x="13"/>
        <item x="40"/>
        <item x="25"/>
        <item x="26"/>
        <item x="39"/>
        <item x="36"/>
        <item x="10"/>
        <item x="9"/>
        <item x="12"/>
        <item x="33"/>
        <item x="2"/>
        <item x="19"/>
        <item x="14"/>
        <item x="24"/>
        <item x="20"/>
        <item x="35"/>
        <item x="37"/>
        <item x="6"/>
        <item x="15"/>
        <item x="18"/>
        <item x="3"/>
        <item x="28"/>
        <item x="4"/>
        <item x="8"/>
        <item x="0"/>
        <item x="7"/>
        <item t="default"/>
      </items>
    </pivotField>
    <pivotField showAll="0">
      <items count="163">
        <item x="145"/>
        <item x="133"/>
        <item x="6"/>
        <item x="129"/>
        <item x="100"/>
        <item x="119"/>
        <item x="99"/>
        <item x="18"/>
        <item x="81"/>
        <item x="46"/>
        <item x="138"/>
        <item x="144"/>
        <item x="40"/>
        <item x="28"/>
        <item x="42"/>
        <item x="69"/>
        <item x="21"/>
        <item x="125"/>
        <item x="37"/>
        <item x="113"/>
        <item x="68"/>
        <item x="60"/>
        <item x="66"/>
        <item x="1"/>
        <item x="17"/>
        <item x="142"/>
        <item x="93"/>
        <item x="49"/>
        <item x="48"/>
        <item x="56"/>
        <item x="19"/>
        <item x="34"/>
        <item x="44"/>
        <item x="111"/>
        <item x="83"/>
        <item x="76"/>
        <item x="70"/>
        <item x="54"/>
        <item x="123"/>
        <item x="26"/>
        <item x="112"/>
        <item x="86"/>
        <item x="97"/>
        <item x="147"/>
        <item x="77"/>
        <item x="89"/>
        <item x="106"/>
        <item x="31"/>
        <item x="109"/>
        <item x="35"/>
        <item x="152"/>
        <item x="39"/>
        <item x="127"/>
        <item x="84"/>
        <item x="10"/>
        <item x="105"/>
        <item x="4"/>
        <item x="88"/>
        <item x="64"/>
        <item x="25"/>
        <item x="33"/>
        <item x="126"/>
        <item x="161"/>
        <item x="130"/>
        <item x="132"/>
        <item x="116"/>
        <item x="156"/>
        <item x="30"/>
        <item x="160"/>
        <item x="135"/>
        <item x="90"/>
        <item x="51"/>
        <item x="92"/>
        <item x="52"/>
        <item x="104"/>
        <item x="107"/>
        <item x="79"/>
        <item x="117"/>
        <item x="114"/>
        <item x="146"/>
        <item x="80"/>
        <item x="121"/>
        <item x="71"/>
        <item x="143"/>
        <item x="29"/>
        <item x="136"/>
        <item x="15"/>
        <item x="158"/>
        <item x="85"/>
        <item x="75"/>
        <item x="50"/>
        <item x="128"/>
        <item x="154"/>
        <item x="47"/>
        <item x="151"/>
        <item x="153"/>
        <item x="139"/>
        <item x="20"/>
        <item x="72"/>
        <item x="74"/>
        <item x="65"/>
        <item x="63"/>
        <item x="141"/>
        <item x="140"/>
        <item x="13"/>
        <item x="82"/>
        <item x="101"/>
        <item x="94"/>
        <item x="67"/>
        <item x="149"/>
        <item x="73"/>
        <item x="0"/>
        <item x="96"/>
        <item x="91"/>
        <item x="41"/>
        <item x="148"/>
        <item x="12"/>
        <item x="7"/>
        <item x="159"/>
        <item x="110"/>
        <item x="95"/>
        <item x="150"/>
        <item x="53"/>
        <item x="62"/>
        <item x="157"/>
        <item x="78"/>
        <item x="32"/>
        <item x="24"/>
        <item x="3"/>
        <item x="118"/>
        <item x="87"/>
        <item x="27"/>
        <item x="131"/>
        <item x="115"/>
        <item x="11"/>
        <item x="16"/>
        <item x="122"/>
        <item x="8"/>
        <item x="9"/>
        <item x="2"/>
        <item x="14"/>
        <item x="137"/>
        <item x="103"/>
        <item x="22"/>
        <item x="57"/>
        <item x="45"/>
        <item x="120"/>
        <item x="102"/>
        <item x="23"/>
        <item x="59"/>
        <item x="155"/>
        <item x="58"/>
        <item x="108"/>
        <item x="61"/>
        <item x="38"/>
        <item x="98"/>
        <item x="43"/>
        <item x="124"/>
        <item x="36"/>
        <item x="55"/>
        <item x="134"/>
        <item x="5"/>
        <item t="default"/>
      </items>
    </pivotField>
    <pivotField showAll="0"/>
    <pivotField showAll="0"/>
    <pivotField showAll="0"/>
    <pivotField numFmtId="176" showAll="0"/>
    <pivotField numFmtId="181" showAll="0"/>
    <pivotField numFmtId="182" showAll="0"/>
    <pivotField showAll="0">
      <items count="8">
        <item x="6"/>
        <item x="5"/>
        <item x="4"/>
        <item x="3"/>
        <item x="0"/>
        <item x="1"/>
        <item x="2"/>
        <item t="default"/>
      </items>
    </pivotField>
    <pivotField dataField="1" dragToCol="0" dragToPage="0" dragToRow="0" defaultSubtotal="0" showAll="0"/>
    <pivotField dragToCol="0" dragToPage="0" dragToRow="0" defaultSubtotal="0" showAll="0"/>
    <pivotField dragToCol="0" dragToPage="0" dragToRow="0" defaultSubtotal="0" showAll="0"/>
    <pivotField dragToCol="0" dragToPage="0" dragToRow="0" defaultSubtotal="0" showAll="0"/>
    <pivotField dragToCol="0" dragToPage="0" dragToRow="0" defaultSubtotal="0" showAll="0"/>
  </pivotFields>
  <rowFields count="2">
    <field x="3"/>
    <field x="4"/>
  </rowFields>
  <rowItems count="3">
    <i>
      <x/>
    </i>
    <i r="1">
      <x v="2"/>
    </i>
    <i r="1">
      <x v="3"/>
    </i>
  </rowItems>
  <colFields count="1">
    <field x="-2"/>
  </colFields>
  <colItems count="2">
    <i>
      <x/>
    </i>
    <i i="1">
      <x v="1"/>
    </i>
  </colItems>
  <dataFields count="2">
    <dataField name="订单量" fld="1" subtotal="count" baseField="0" baseItem="0"/>
    <dataField name="求和项:销售额" fld="15" baseField="0" baseItem="0"/>
  </dataFields>
  <formats count="4">
    <format dxfId="8">
      <pivotArea fieldPosition="0"/>
    </format>
    <format dxfId="9">
      <pivotArea dataOnly="0" labelOnly="1" fieldPosition="0">
        <references count="1">
          <reference field="4294967294" count="2">
            <x v="0"/>
            <x v="1"/>
          </reference>
        </references>
      </pivotArea>
    </format>
    <format dxfId="10">
      <pivotArea fieldPosition="0">
        <references count="1">
          <reference field="4294967294" count="1" selected="0">
            <x v="0"/>
          </reference>
        </references>
      </pivotArea>
    </format>
    <format dxfId="11">
      <pivotArea dataOnly="0" labelOnly="1" fieldPosition="0">
        <references count="1">
          <reference field="4294967294" count="1">
            <x v="0"/>
          </reference>
        </references>
      </pivotArea>
    </format>
  </formats>
  <pivotTableStyleInfo name="PivotStyleLight16" showRowHeaders="1" showColHeaders="1" showLastColumn="1"/>
</pivotTableDefinition>
</file>

<file path=xl/pivotTables/pivotTable4.xml><?xml version="1.0" encoding="utf-8"?>
<pivotTableDefinition xmlns="http://schemas.openxmlformats.org/spreadsheetml/2006/main" name="数据透视表11" cacheId="0" autoFormatId="1" applyNumberFormats="0" applyBorderFormats="0" applyFontFormats="0" applyPatternFormats="0" applyAlignmentFormats="0" applyWidthHeightFormats="1" dataCaption="值" updatedVersion="5" minRefreshableVersion="3" createdVersion="5" indent="0" outline="1" outlineData="1" showDrill="1" multipleFieldFilters="0" rowHeaderCaption="日期">
  <location ref="E51:F136" firstHeaderRow="1" firstDataRow="1" firstDataCol="1"/>
  <pivotFields count="20">
    <pivotField showAll="0"/>
    <pivotField showAll="0"/>
    <pivotField dataField="1" showAll="0">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pivotField>
    <pivotField showAll="0">
      <items count="3">
        <item x="0"/>
        <item x="1"/>
        <item t="default"/>
      </items>
    </pivotField>
    <pivotField showAll="0">
      <items count="5">
        <item h="1" x="3"/>
        <item h="1" x="0"/>
        <item x="1"/>
        <item x="2"/>
        <item t="default"/>
      </items>
    </pivotField>
    <pivotField showAll="0"/>
    <pivotField axis="axisRow" showAll="0">
      <items count="43">
        <item x="38"/>
        <item x="34"/>
        <item x="29"/>
        <item x="17"/>
        <item x="16"/>
        <item x="30"/>
        <item x="21"/>
        <item x="32"/>
        <item x="5"/>
        <item x="22"/>
        <item x="11"/>
        <item x="1"/>
        <item x="31"/>
        <item x="41"/>
        <item x="27"/>
        <item x="23"/>
        <item x="13"/>
        <item x="40"/>
        <item x="25"/>
        <item x="26"/>
        <item x="39"/>
        <item x="36"/>
        <item x="10"/>
        <item x="9"/>
        <item x="12"/>
        <item x="33"/>
        <item x="2"/>
        <item x="19"/>
        <item x="14"/>
        <item x="24"/>
        <item x="20"/>
        <item x="35"/>
        <item x="37"/>
        <item x="6"/>
        <item x="15"/>
        <item x="18"/>
        <item x="3"/>
        <item x="28"/>
        <item x="4"/>
        <item x="8"/>
        <item x="0"/>
        <item x="7"/>
        <item t="default"/>
      </items>
    </pivotField>
    <pivotField showAll="0">
      <items count="163">
        <item x="145"/>
        <item x="133"/>
        <item x="6"/>
        <item x="129"/>
        <item x="100"/>
        <item x="119"/>
        <item x="99"/>
        <item x="18"/>
        <item x="81"/>
        <item x="46"/>
        <item x="138"/>
        <item x="144"/>
        <item x="40"/>
        <item x="28"/>
        <item x="42"/>
        <item x="69"/>
        <item x="21"/>
        <item x="125"/>
        <item x="37"/>
        <item x="113"/>
        <item x="68"/>
        <item x="60"/>
        <item x="66"/>
        <item x="1"/>
        <item x="17"/>
        <item x="142"/>
        <item x="93"/>
        <item x="49"/>
        <item x="48"/>
        <item x="56"/>
        <item x="19"/>
        <item x="34"/>
        <item x="44"/>
        <item x="111"/>
        <item x="83"/>
        <item x="76"/>
        <item x="70"/>
        <item x="54"/>
        <item x="123"/>
        <item x="26"/>
        <item x="112"/>
        <item x="86"/>
        <item x="97"/>
        <item x="147"/>
        <item x="77"/>
        <item x="89"/>
        <item x="106"/>
        <item x="31"/>
        <item x="109"/>
        <item x="35"/>
        <item x="152"/>
        <item x="39"/>
        <item x="127"/>
        <item x="84"/>
        <item x="10"/>
        <item x="105"/>
        <item x="4"/>
        <item x="88"/>
        <item x="64"/>
        <item x="25"/>
        <item x="33"/>
        <item x="126"/>
        <item x="161"/>
        <item x="130"/>
        <item x="132"/>
        <item x="116"/>
        <item x="156"/>
        <item x="30"/>
        <item x="160"/>
        <item x="135"/>
        <item x="90"/>
        <item x="51"/>
        <item x="92"/>
        <item x="52"/>
        <item x="104"/>
        <item x="107"/>
        <item x="79"/>
        <item x="117"/>
        <item x="114"/>
        <item x="146"/>
        <item x="80"/>
        <item x="121"/>
        <item x="71"/>
        <item x="143"/>
        <item x="29"/>
        <item x="136"/>
        <item x="15"/>
        <item x="158"/>
        <item x="85"/>
        <item x="75"/>
        <item x="50"/>
        <item x="128"/>
        <item x="154"/>
        <item x="47"/>
        <item x="151"/>
        <item x="153"/>
        <item x="139"/>
        <item x="20"/>
        <item x="72"/>
        <item x="74"/>
        <item x="65"/>
        <item x="63"/>
        <item x="141"/>
        <item x="140"/>
        <item x="13"/>
        <item x="82"/>
        <item x="101"/>
        <item x="94"/>
        <item x="67"/>
        <item x="149"/>
        <item x="73"/>
        <item x="0"/>
        <item x="96"/>
        <item x="91"/>
        <item x="41"/>
        <item x="148"/>
        <item x="12"/>
        <item x="7"/>
        <item x="159"/>
        <item x="110"/>
        <item x="95"/>
        <item x="150"/>
        <item x="53"/>
        <item x="62"/>
        <item x="157"/>
        <item x="78"/>
        <item x="32"/>
        <item x="24"/>
        <item x="3"/>
        <item x="118"/>
        <item x="87"/>
        <item x="27"/>
        <item x="131"/>
        <item x="115"/>
        <item x="11"/>
        <item x="16"/>
        <item x="122"/>
        <item x="8"/>
        <item x="9"/>
        <item x="2"/>
        <item x="14"/>
        <item x="137"/>
        <item x="103"/>
        <item x="22"/>
        <item x="57"/>
        <item x="45"/>
        <item x="120"/>
        <item x="102"/>
        <item x="23"/>
        <item x="59"/>
        <item x="155"/>
        <item x="58"/>
        <item x="108"/>
        <item x="61"/>
        <item x="38"/>
        <item x="98"/>
        <item x="43"/>
        <item x="124"/>
        <item x="36"/>
        <item x="55"/>
        <item x="134"/>
        <item x="5"/>
        <item t="default"/>
      </items>
    </pivotField>
    <pivotField showAll="0"/>
    <pivotField showAll="0"/>
    <pivotField showAll="0"/>
    <pivotField numFmtId="176" showAll="0"/>
    <pivotField numFmtId="181" showAll="0"/>
    <pivotField numFmtId="182" showAll="0"/>
    <pivotField axis="axisRow" showAll="0">
      <items count="8">
        <item x="6"/>
        <item x="5"/>
        <item x="4"/>
        <item x="3"/>
        <item x="0"/>
        <item x="1"/>
        <item x="2"/>
        <item t="default"/>
      </items>
    </pivotField>
    <pivotField dragToCol="0" dragToPage="0" dragToRow="0" defaultSubtotal="0" showAll="0"/>
    <pivotField dragToCol="0" dragToPage="0" dragToRow="0" defaultSubtotal="0" showAll="0"/>
    <pivotField dragToCol="0" dragToPage="0" dragToRow="0" defaultSubtotal="0" showAll="0"/>
    <pivotField dragToCol="0" dragToPage="0" dragToRow="0" defaultSubtotal="0" showAll="0"/>
    <pivotField dragToCol="0" dragToPage="0" dragToRow="0" defaultSubtotal="0" showAll="0"/>
  </pivotFields>
  <rowFields count="2">
    <field x="6"/>
    <field x="14"/>
  </rowFields>
  <rowItems count="85">
    <i>
      <x/>
    </i>
    <i r="1">
      <x v="4"/>
    </i>
    <i>
      <x v="1"/>
    </i>
    <i r="1">
      <x v="4"/>
    </i>
    <i>
      <x v="2"/>
    </i>
    <i r="1">
      <x v="4"/>
    </i>
    <i>
      <x v="3"/>
    </i>
    <i r="1">
      <x v="4"/>
    </i>
    <i>
      <x v="4"/>
    </i>
    <i r="1">
      <x v="4"/>
    </i>
    <i>
      <x v="5"/>
    </i>
    <i r="1">
      <x v="4"/>
    </i>
    <i>
      <x v="6"/>
    </i>
    <i r="1">
      <x v="4"/>
    </i>
    <i>
      <x v="7"/>
    </i>
    <i r="1">
      <x v="4"/>
    </i>
    <i>
      <x v="8"/>
    </i>
    <i r="1">
      <x v="4"/>
    </i>
    <i>
      <x v="9"/>
    </i>
    <i r="1">
      <x v="4"/>
    </i>
    <i>
      <x v="10"/>
    </i>
    <i r="1">
      <x v="4"/>
    </i>
    <i>
      <x v="11"/>
    </i>
    <i r="1">
      <x v="4"/>
    </i>
    <i>
      <x v="12"/>
    </i>
    <i r="1">
      <x v="4"/>
    </i>
    <i>
      <x v="14"/>
    </i>
    <i r="1">
      <x v="4"/>
    </i>
    <i>
      <x v="15"/>
    </i>
    <i r="1">
      <x v="4"/>
    </i>
    <i>
      <x v="16"/>
    </i>
    <i r="1">
      <x v="3"/>
    </i>
    <i r="1">
      <x v="4"/>
    </i>
    <i r="1">
      <x v="6"/>
    </i>
    <i>
      <x v="18"/>
    </i>
    <i r="1">
      <x v="4"/>
    </i>
    <i>
      <x v="19"/>
    </i>
    <i r="1">
      <x v="4"/>
    </i>
    <i r="1">
      <x v="6"/>
    </i>
    <i>
      <x v="20"/>
    </i>
    <i r="1">
      <x v="4"/>
    </i>
    <i>
      <x v="21"/>
    </i>
    <i r="1">
      <x v="4"/>
    </i>
    <i>
      <x v="22"/>
    </i>
    <i r="1">
      <x v="3"/>
    </i>
    <i r="1">
      <x v="4"/>
    </i>
    <i>
      <x v="23"/>
    </i>
    <i r="1">
      <x v="4"/>
    </i>
    <i>
      <x v="24"/>
    </i>
    <i r="1">
      <x v="4"/>
    </i>
    <i>
      <x v="25"/>
    </i>
    <i r="1">
      <x v="4"/>
    </i>
    <i>
      <x v="26"/>
    </i>
    <i r="1">
      <x v="4"/>
    </i>
    <i>
      <x v="27"/>
    </i>
    <i r="1">
      <x v="4"/>
    </i>
    <i>
      <x v="28"/>
    </i>
    <i r="1">
      <x v="4"/>
    </i>
    <i r="1">
      <x v="5"/>
    </i>
    <i>
      <x v="29"/>
    </i>
    <i r="1">
      <x v="4"/>
    </i>
    <i>
      <x v="30"/>
    </i>
    <i r="1">
      <x v="4"/>
    </i>
    <i>
      <x v="31"/>
    </i>
    <i r="1">
      <x v="4"/>
    </i>
    <i>
      <x v="32"/>
    </i>
    <i r="1">
      <x v="4"/>
    </i>
    <i>
      <x v="33"/>
    </i>
    <i r="1">
      <x v="4"/>
    </i>
    <i>
      <x v="34"/>
    </i>
    <i r="1">
      <x v="4"/>
    </i>
    <i>
      <x v="35"/>
    </i>
    <i r="1">
      <x v="4"/>
    </i>
    <i r="1">
      <x v="6"/>
    </i>
    <i>
      <x v="36"/>
    </i>
    <i r="1">
      <x v="4"/>
    </i>
    <i>
      <x v="37"/>
    </i>
    <i r="1">
      <x v="4"/>
    </i>
    <i>
      <x v="38"/>
    </i>
    <i r="1">
      <x v="4"/>
    </i>
    <i>
      <x v="39"/>
    </i>
    <i r="1">
      <x v="4"/>
    </i>
    <i>
      <x v="41"/>
    </i>
    <i r="1">
      <x v="4"/>
    </i>
    <i t="grand">
      <x/>
    </i>
  </rowItems>
  <colItems count="1">
    <i/>
  </colItems>
  <dataFields count="1">
    <dataField name="计数项:订单号" fld="2" subtotal="count" baseField="0" baseItem="0"/>
  </dataFields>
  <pivotTableStyleInfo name="PivotStyleLight16" showRowHeaders="1" showColHeaders="1" showLastColumn="1"/>
</pivotTableDefinition>
</file>

<file path=xl/pivotTables/pivotTable5.xml><?xml version="1.0" encoding="utf-8"?>
<pivotTableDefinition xmlns="http://schemas.openxmlformats.org/spreadsheetml/2006/main" name="数据透视表3" cacheId="0" dataOnRows="1" autoFormatId="1" applyNumberFormats="0" applyBorderFormats="0" applyFontFormats="0" applyPatternFormats="0" applyAlignmentFormats="0" applyWidthHeightFormats="1" dataCaption="指标" updatedVersion="5" minRefreshableVersion="3" createdVersion="5" indent="0" outline="1" outlineData="1" showDrill="1" multipleFieldFilters="0" rowHeaderCaption="日期">
  <location ref="A3:B8" firstHeaderRow="1" firstDataRow="1" firstDataCol="1"/>
  <pivotFields count="20">
    <pivotField defaultSubtotal="0" showAll="0"/>
    <pivotField showAll="0"/>
    <pivotField showAll="0">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pivotField>
    <pivotField showAll="0">
      <items count="3">
        <item x="0"/>
        <item x="1"/>
        <item t="default"/>
      </items>
    </pivotField>
    <pivotField showAll="0">
      <items count="5">
        <item h="1" x="3"/>
        <item h="1" x="0"/>
        <item x="1"/>
        <item x="2"/>
        <item t="default"/>
      </items>
    </pivotField>
    <pivotField showAll="0"/>
    <pivotField showAll="0">
      <items count="43">
        <item x="38"/>
        <item x="34"/>
        <item x="29"/>
        <item x="17"/>
        <item x="16"/>
        <item x="30"/>
        <item x="21"/>
        <item x="32"/>
        <item x="5"/>
        <item x="22"/>
        <item x="11"/>
        <item x="1"/>
        <item x="31"/>
        <item x="41"/>
        <item x="27"/>
        <item x="23"/>
        <item x="13"/>
        <item x="40"/>
        <item x="25"/>
        <item x="26"/>
        <item x="39"/>
        <item x="36"/>
        <item x="10"/>
        <item x="9"/>
        <item x="12"/>
        <item x="33"/>
        <item x="2"/>
        <item x="19"/>
        <item x="14"/>
        <item x="24"/>
        <item x="20"/>
        <item x="35"/>
        <item x="37"/>
        <item x="6"/>
        <item x="15"/>
        <item x="18"/>
        <item x="3"/>
        <item x="28"/>
        <item x="4"/>
        <item x="8"/>
        <item x="0"/>
        <item x="7"/>
        <item t="default"/>
      </items>
    </pivotField>
    <pivotField showAll="0">
      <items count="163">
        <item x="145"/>
        <item x="133"/>
        <item x="6"/>
        <item x="129"/>
        <item x="100"/>
        <item x="119"/>
        <item x="99"/>
        <item x="18"/>
        <item x="81"/>
        <item x="46"/>
        <item x="138"/>
        <item x="144"/>
        <item x="40"/>
        <item x="28"/>
        <item x="42"/>
        <item x="69"/>
        <item x="21"/>
        <item x="125"/>
        <item x="37"/>
        <item x="113"/>
        <item x="68"/>
        <item x="60"/>
        <item x="66"/>
        <item x="1"/>
        <item x="17"/>
        <item x="142"/>
        <item x="93"/>
        <item x="49"/>
        <item x="48"/>
        <item x="56"/>
        <item x="19"/>
        <item x="34"/>
        <item x="44"/>
        <item x="111"/>
        <item x="83"/>
        <item x="76"/>
        <item x="70"/>
        <item x="54"/>
        <item x="123"/>
        <item x="26"/>
        <item x="112"/>
        <item x="86"/>
        <item x="97"/>
        <item x="147"/>
        <item x="77"/>
        <item x="89"/>
        <item x="106"/>
        <item x="31"/>
        <item x="109"/>
        <item x="35"/>
        <item x="152"/>
        <item x="39"/>
        <item x="127"/>
        <item x="84"/>
        <item x="10"/>
        <item x="105"/>
        <item x="4"/>
        <item x="88"/>
        <item x="64"/>
        <item x="25"/>
        <item x="33"/>
        <item x="126"/>
        <item x="161"/>
        <item x="130"/>
        <item x="132"/>
        <item x="116"/>
        <item x="156"/>
        <item x="30"/>
        <item x="160"/>
        <item x="135"/>
        <item x="90"/>
        <item x="51"/>
        <item x="92"/>
        <item x="52"/>
        <item x="104"/>
        <item x="107"/>
        <item x="79"/>
        <item x="117"/>
        <item x="114"/>
        <item x="146"/>
        <item x="80"/>
        <item x="121"/>
        <item x="71"/>
        <item x="143"/>
        <item x="29"/>
        <item x="136"/>
        <item x="15"/>
        <item x="158"/>
        <item x="85"/>
        <item x="75"/>
        <item x="50"/>
        <item x="128"/>
        <item x="154"/>
        <item x="47"/>
        <item x="151"/>
        <item x="153"/>
        <item x="139"/>
        <item x="20"/>
        <item x="72"/>
        <item x="74"/>
        <item x="65"/>
        <item x="63"/>
        <item x="141"/>
        <item x="140"/>
        <item x="13"/>
        <item x="82"/>
        <item x="101"/>
        <item x="94"/>
        <item x="67"/>
        <item x="149"/>
        <item x="73"/>
        <item x="0"/>
        <item x="96"/>
        <item x="91"/>
        <item x="41"/>
        <item x="148"/>
        <item x="12"/>
        <item x="7"/>
        <item x="159"/>
        <item x="110"/>
        <item x="95"/>
        <item x="150"/>
        <item x="53"/>
        <item x="62"/>
        <item x="157"/>
        <item x="78"/>
        <item x="32"/>
        <item x="24"/>
        <item x="3"/>
        <item x="118"/>
        <item x="87"/>
        <item x="27"/>
        <item x="131"/>
        <item x="115"/>
        <item x="11"/>
        <item x="16"/>
        <item x="122"/>
        <item x="8"/>
        <item x="9"/>
        <item x="2"/>
        <item x="14"/>
        <item x="137"/>
        <item x="103"/>
        <item x="22"/>
        <item x="57"/>
        <item x="45"/>
        <item x="120"/>
        <item x="102"/>
        <item x="23"/>
        <item x="59"/>
        <item x="155"/>
        <item x="58"/>
        <item x="108"/>
        <item x="61"/>
        <item x="38"/>
        <item x="98"/>
        <item x="43"/>
        <item x="124"/>
        <item x="36"/>
        <item x="55"/>
        <item x="134"/>
        <item x="5"/>
        <item t="default"/>
      </items>
    </pivotField>
    <pivotField showAll="0"/>
    <pivotField showAll="0"/>
    <pivotField showAll="0"/>
    <pivotField defaultSubtotal="0" showAll="0"/>
    <pivotField showAll="0"/>
    <pivotField dataField="1" defaultSubtotal="0" numFmtId="182" showAll="0"/>
    <pivotField showAll="0">
      <items count="8">
        <item x="6"/>
        <item x="5"/>
        <item x="4"/>
        <item x="3"/>
        <item x="0"/>
        <item x="1"/>
        <item x="2"/>
        <item t="default"/>
      </items>
    </pivotField>
    <pivotField dataField="1" dragToCol="0" dragToPage="0" dragToRow="0" defaultSubtotal="0" showAll="0"/>
    <pivotField dataField="1" dragToCol="0" dragToPage="0" dragToRow="0" defaultSubtotal="0" showAll="0"/>
    <pivotField dataField="1" dragToCol="0" dragToPage="0" dragToRow="0" defaultSubtotal="0" showAll="0"/>
    <pivotField dataField="1" dragToCol="0" dragToPage="0" dragToRow="0" defaultSubtotal="0" showAll="0"/>
    <pivotField dragToCol="0" dragToPage="0" dragToRow="0" defaultSubtotal="0" showAll="0"/>
  </pivotFields>
  <rowFields count="1">
    <field x="-2"/>
  </rowFields>
  <rowItems count="5">
    <i>
      <x/>
    </i>
    <i i="1">
      <x v="1"/>
    </i>
    <i i="2">
      <x v="2"/>
    </i>
    <i i="3">
      <x v="3"/>
    </i>
    <i i="4">
      <x v="4"/>
    </i>
  </rowItems>
  <colItems count="1">
    <i/>
  </colItems>
  <dataFields count="5">
    <dataField name="销售总额" fld="15" baseField="0" baseItem="0"/>
    <dataField name="利润总额" fld="13" baseField="0" baseItem="0"/>
    <dataField name="利润率" fld="16" baseField="0" baseItem="0"/>
    <dataField name="订单量" fld="17" baseField="0" baseItem="0"/>
    <dataField name="客单价" fld="18" baseField="0" baseItem="0"/>
  </dataFields>
  <formats count="8">
    <format dxfId="12">
      <pivotArea fieldPosition="0">
        <references count="1">
          <reference field="4294967294" count="1">
            <x v="1"/>
          </reference>
        </references>
      </pivotArea>
    </format>
    <format dxfId="13">
      <pivotArea fieldPosition="0">
        <references count="1">
          <reference field="4294967294" count="1">
            <x v="0"/>
          </reference>
        </references>
      </pivotArea>
    </format>
    <format dxfId="14">
      <pivotArea fieldPosition="0">
        <references count="1">
          <reference field="4294967294" count="1">
            <x v="2"/>
          </reference>
        </references>
      </pivotArea>
    </format>
    <format dxfId="15">
      <pivotArea type="all" dataOnly="0" outline="0" fieldPosition="0"/>
    </format>
    <format dxfId="16">
      <pivotArea field="-2" type="button" dataOnly="0" labelOnly="1" outline="0" fieldPosition="0"/>
    </format>
    <format dxfId="17">
      <pivotArea dataOnly="0" labelOnly="1" fieldPosition="0">
        <references count="1">
          <reference field="4294967294" count="3">
            <x v="0"/>
            <x v="1"/>
            <x v="2"/>
          </reference>
        </references>
      </pivotArea>
    </format>
    <format dxfId="18">
      <pivotArea fieldPosition="0"/>
    </format>
    <format dxfId="19">
      <pivotArea fieldPosition="0">
        <references count="1">
          <reference field="4294967294" count="1">
            <x v="4"/>
          </reference>
        </references>
      </pivotArea>
    </format>
  </formats>
  <pivotTableStyleInfo name="PivotStyleLight16" showRowHeaders="1" showColHeaders="1" showLastColumn="1"/>
</pivotTableDefinition>
</file>

<file path=xl/pivotTables/pivotTable6.xml><?xml version="1.0" encoding="utf-8"?>
<pivotTableDefinition xmlns="http://schemas.openxmlformats.org/spreadsheetml/2006/main" name="数据透视表8" cacheId="0" autoFormatId="1" applyNumberFormats="0" applyBorderFormats="0" applyFontFormats="0" applyPatternFormats="0" applyAlignmentFormats="0" applyWidthHeightFormats="1" dataCaption="值" updatedVersion="5" minRefreshableVersion="3" createdVersion="5" indent="0" outline="1" outlineData="1" showDrill="1" multipleFieldFilters="0" rowHeaderCaption="出单产品SKU">
  <location ref="A36:C182" firstHeaderRow="1" firstDataRow="2" firstDataCol="1"/>
  <pivotFields count="20">
    <pivotField defaultSubtotal="0" showAll="0"/>
    <pivotField showAll="0"/>
    <pivotField showAll="0">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pivotField>
    <pivotField showAll="0">
      <items count="3">
        <item x="0"/>
        <item x="1"/>
        <item t="default"/>
      </items>
    </pivotField>
    <pivotField showAll="0">
      <items count="5">
        <item h="1" x="3"/>
        <item h="1" x="0"/>
        <item x="1"/>
        <item x="2"/>
        <item t="default"/>
      </items>
    </pivotField>
    <pivotField showAll="0"/>
    <pivotField showAll="0">
      <items count="43">
        <item x="38"/>
        <item x="34"/>
        <item x="29"/>
        <item x="17"/>
        <item x="16"/>
        <item x="30"/>
        <item x="21"/>
        <item x="32"/>
        <item x="5"/>
        <item x="22"/>
        <item x="11"/>
        <item x="1"/>
        <item x="31"/>
        <item x="41"/>
        <item x="27"/>
        <item x="23"/>
        <item x="13"/>
        <item x="40"/>
        <item x="25"/>
        <item x="26"/>
        <item x="39"/>
        <item x="36"/>
        <item x="10"/>
        <item x="9"/>
        <item x="12"/>
        <item x="33"/>
        <item x="2"/>
        <item x="19"/>
        <item x="14"/>
        <item x="24"/>
        <item x="20"/>
        <item x="35"/>
        <item x="37"/>
        <item x="6"/>
        <item x="15"/>
        <item x="18"/>
        <item x="3"/>
        <item x="28"/>
        <item x="4"/>
        <item x="8"/>
        <item x="0"/>
        <item x="7"/>
        <item t="default"/>
      </items>
    </pivotField>
    <pivotField axis="axisRow" dataField="1" showAll="0">
      <items count="163">
        <item x="145"/>
        <item x="133"/>
        <item x="6"/>
        <item x="129"/>
        <item x="100"/>
        <item x="119"/>
        <item x="99"/>
        <item x="18"/>
        <item x="81"/>
        <item x="46"/>
        <item x="138"/>
        <item x="144"/>
        <item x="40"/>
        <item x="28"/>
        <item x="42"/>
        <item x="69"/>
        <item x="21"/>
        <item x="125"/>
        <item x="37"/>
        <item x="113"/>
        <item x="68"/>
        <item x="60"/>
        <item x="66"/>
        <item x="1"/>
        <item x="17"/>
        <item x="142"/>
        <item x="93"/>
        <item x="49"/>
        <item x="48"/>
        <item x="56"/>
        <item x="19"/>
        <item x="34"/>
        <item x="44"/>
        <item x="111"/>
        <item x="83"/>
        <item x="76"/>
        <item x="70"/>
        <item x="54"/>
        <item x="123"/>
        <item x="26"/>
        <item x="112"/>
        <item x="86"/>
        <item x="97"/>
        <item x="147"/>
        <item x="77"/>
        <item x="89"/>
        <item x="106"/>
        <item x="31"/>
        <item x="109"/>
        <item x="35"/>
        <item x="152"/>
        <item x="39"/>
        <item x="127"/>
        <item x="84"/>
        <item x="10"/>
        <item x="105"/>
        <item x="4"/>
        <item x="88"/>
        <item x="64"/>
        <item x="25"/>
        <item x="33"/>
        <item x="126"/>
        <item x="161"/>
        <item x="130"/>
        <item x="132"/>
        <item x="116"/>
        <item x="156"/>
        <item x="30"/>
        <item x="160"/>
        <item x="135"/>
        <item x="90"/>
        <item x="51"/>
        <item x="92"/>
        <item x="52"/>
        <item x="104"/>
        <item x="107"/>
        <item x="79"/>
        <item x="117"/>
        <item x="114"/>
        <item x="146"/>
        <item x="80"/>
        <item x="121"/>
        <item x="71"/>
        <item x="143"/>
        <item x="29"/>
        <item x="136"/>
        <item x="15"/>
        <item x="158"/>
        <item x="85"/>
        <item x="75"/>
        <item x="50"/>
        <item x="128"/>
        <item x="154"/>
        <item x="47"/>
        <item x="151"/>
        <item x="153"/>
        <item x="139"/>
        <item x="20"/>
        <item x="72"/>
        <item x="74"/>
        <item x="65"/>
        <item x="63"/>
        <item x="141"/>
        <item x="140"/>
        <item x="13"/>
        <item x="82"/>
        <item x="101"/>
        <item x="94"/>
        <item x="67"/>
        <item x="149"/>
        <item x="73"/>
        <item x="0"/>
        <item x="96"/>
        <item x="91"/>
        <item x="41"/>
        <item x="148"/>
        <item x="12"/>
        <item x="7"/>
        <item x="159"/>
        <item x="110"/>
        <item x="95"/>
        <item x="150"/>
        <item x="53"/>
        <item x="62"/>
        <item x="157"/>
        <item x="78"/>
        <item x="32"/>
        <item x="24"/>
        <item x="3"/>
        <item x="118"/>
        <item x="87"/>
        <item x="27"/>
        <item x="131"/>
        <item x="115"/>
        <item x="11"/>
        <item x="16"/>
        <item x="122"/>
        <item x="8"/>
        <item x="9"/>
        <item x="2"/>
        <item x="14"/>
        <item x="137"/>
        <item x="103"/>
        <item x="22"/>
        <item x="57"/>
        <item x="45"/>
        <item x="120"/>
        <item x="102"/>
        <item x="23"/>
        <item x="59"/>
        <item x="155"/>
        <item x="58"/>
        <item x="108"/>
        <item x="61"/>
        <item x="38"/>
        <item x="98"/>
        <item x="43"/>
        <item x="124"/>
        <item x="36"/>
        <item x="55"/>
        <item x="134"/>
        <item x="5"/>
        <item t="default"/>
      </items>
    </pivotField>
    <pivotField showAll="0"/>
    <pivotField showAll="0"/>
    <pivotField showAll="0"/>
    <pivotField numFmtId="176" showAll="0"/>
    <pivotField numFmtId="181" showAll="0"/>
    <pivotField numFmtId="182" showAll="0"/>
    <pivotField showAll="0">
      <items count="8">
        <item x="6"/>
        <item x="5"/>
        <item x="4"/>
        <item x="3"/>
        <item x="0"/>
        <item x="1"/>
        <item x="2"/>
        <item t="default"/>
      </items>
    </pivotField>
    <pivotField dataField="1" dragToCol="0" dragToPage="0" dragToRow="0" defaultSubtotal="0" showAll="0"/>
    <pivotField dragToCol="0" dragToPage="0" dragToRow="0" defaultSubtotal="0" showAll="0"/>
    <pivotField dragToCol="0" dragToPage="0" dragToRow="0" defaultSubtotal="0" showAll="0"/>
    <pivotField dragToCol="0" dragToPage="0" dragToRow="0" defaultSubtotal="0" showAll="0"/>
    <pivotField dragToCol="0" dragToPage="0" dragToRow="0" defaultSubtotal="0" showAll="0"/>
  </pivotFields>
  <rowFields count="1">
    <field x="7"/>
  </rowFields>
  <rowItems count="145">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4"/>
    </i>
    <i>
      <x v="45"/>
    </i>
    <i>
      <x v="46"/>
    </i>
    <i>
      <x v="47"/>
    </i>
    <i>
      <x v="48"/>
    </i>
    <i>
      <x v="49"/>
    </i>
    <i>
      <x v="51"/>
    </i>
    <i>
      <x v="52"/>
    </i>
    <i>
      <x v="53"/>
    </i>
    <i>
      <x v="54"/>
    </i>
    <i>
      <x v="55"/>
    </i>
    <i>
      <x v="56"/>
    </i>
    <i>
      <x v="57"/>
    </i>
    <i>
      <x v="58"/>
    </i>
    <i>
      <x v="59"/>
    </i>
    <i>
      <x v="60"/>
    </i>
    <i>
      <x v="61"/>
    </i>
    <i>
      <x v="63"/>
    </i>
    <i>
      <x v="64"/>
    </i>
    <i>
      <x v="65"/>
    </i>
    <i>
      <x v="67"/>
    </i>
    <i>
      <x v="69"/>
    </i>
    <i>
      <x v="70"/>
    </i>
    <i>
      <x v="71"/>
    </i>
    <i>
      <x v="72"/>
    </i>
    <i>
      <x v="73"/>
    </i>
    <i>
      <x v="74"/>
    </i>
    <i>
      <x v="75"/>
    </i>
    <i>
      <x v="76"/>
    </i>
    <i>
      <x v="77"/>
    </i>
    <i>
      <x v="78"/>
    </i>
    <i>
      <x v="80"/>
    </i>
    <i>
      <x v="81"/>
    </i>
    <i>
      <x v="82"/>
    </i>
    <i>
      <x v="83"/>
    </i>
    <i>
      <x v="84"/>
    </i>
    <i>
      <x v="85"/>
    </i>
    <i>
      <x v="86"/>
    </i>
    <i>
      <x v="88"/>
    </i>
    <i>
      <x v="89"/>
    </i>
    <i>
      <x v="90"/>
    </i>
    <i>
      <x v="91"/>
    </i>
    <i>
      <x v="93"/>
    </i>
    <i>
      <x v="96"/>
    </i>
    <i>
      <x v="97"/>
    </i>
    <i>
      <x v="98"/>
    </i>
    <i>
      <x v="99"/>
    </i>
    <i>
      <x v="100"/>
    </i>
    <i>
      <x v="101"/>
    </i>
    <i>
      <x v="102"/>
    </i>
    <i>
      <x v="103"/>
    </i>
    <i>
      <x v="104"/>
    </i>
    <i>
      <x v="105"/>
    </i>
    <i>
      <x v="106"/>
    </i>
    <i>
      <x v="107"/>
    </i>
    <i>
      <x v="108"/>
    </i>
    <i>
      <x v="110"/>
    </i>
    <i>
      <x v="112"/>
    </i>
    <i>
      <x v="113"/>
    </i>
    <i>
      <x v="114"/>
    </i>
    <i>
      <x v="116"/>
    </i>
    <i>
      <x v="117"/>
    </i>
    <i>
      <x v="119"/>
    </i>
    <i>
      <x v="120"/>
    </i>
    <i>
      <x v="122"/>
    </i>
    <i>
      <x v="123"/>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1"/>
    </i>
    <i>
      <x v="152"/>
    </i>
    <i>
      <x v="153"/>
    </i>
    <i>
      <x v="154"/>
    </i>
    <i>
      <x v="155"/>
    </i>
    <i>
      <x v="156"/>
    </i>
    <i>
      <x v="157"/>
    </i>
    <i>
      <x v="158"/>
    </i>
    <i>
      <x v="159"/>
    </i>
    <i>
      <x v="160"/>
    </i>
    <i>
      <x v="161"/>
    </i>
    <i t="grand">
      <x/>
    </i>
  </rowItems>
  <colFields count="1">
    <field x="-2"/>
  </colFields>
  <colItems count="2">
    <i>
      <x/>
    </i>
    <i i="1">
      <x v="1"/>
    </i>
  </colItems>
  <dataFields count="2">
    <dataField name="求和项:销售额" fld="15" baseField="0" baseItem="0"/>
    <dataField name="计数" fld="7" subtotal="count" baseField="0" baseItem="0"/>
  </dataFields>
  <formats count="2">
    <format dxfId="20">
      <pivotArea fieldPosition="0"/>
    </format>
    <format dxfId="21">
      <pivotArea dataOnly="0" labelOnly="1" fieldPosition="0"/>
    </format>
  </formats>
  <pivotTableStyleInfo name="PivotStyleLight16" showRowHeaders="1" showColHeaders="1"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切片器_年" sourceName="年">
  <pivotTables>
    <pivotTable tabId="7" name="数据透视表3"/>
    <pivotTable tabId="7" name="数据透视表11"/>
    <pivotTable tabId="7" name="数据透视表5"/>
    <pivotTable tabId="7" name="数据透视表6"/>
    <pivotTable tabId="7" name="数据透视表7"/>
    <pivotTable tabId="7" name="数据透视表8"/>
  </pivotTables>
  <data>
    <tabular pivotCacheId="1">
      <items count="2">
        <i x="0" s="1"/>
        <i x="1" s="1" nd="1"/>
      </items>
    </tabular>
  </data>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切片器_月" sourceName="月">
  <pivotTables>
    <pivotTable tabId="7" name="数据透视表3"/>
    <pivotTable tabId="7" name="数据透视表11"/>
    <pivotTable tabId="7" name="数据透视表5"/>
    <pivotTable tabId="7" name="数据透视表6"/>
    <pivotTable tabId="7" name="数据透视表7"/>
    <pivotTable tabId="7" name="数据透视表8"/>
  </pivotTables>
  <data>
    <tabular pivotCacheId="1">
      <items count="4">
        <i x="3" s="0"/>
        <i x="0" s="0"/>
        <i x="1" s="1"/>
        <i x="2" s="1"/>
      </items>
    </tabular>
  </data>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切片器_产品分类" sourceName="产品分类">
  <pivotTables>
    <pivotTable tabId="7" name="数据透视表3"/>
    <pivotTable tabId="7" name="数据透视表11"/>
    <pivotTable tabId="7" name="数据透视表5"/>
    <pivotTable tabId="7" name="数据透视表6"/>
    <pivotTable tabId="7" name="数据透视表7"/>
    <pivotTable tabId="7" name="数据透视表8"/>
  </pivotTables>
  <data>
    <tabular pivotCacheId="1">
      <items count="42">
        <i x="38" s="1"/>
        <i x="34" s="1"/>
        <i x="29" s="1"/>
        <i x="17" s="1"/>
        <i x="16" s="1"/>
        <i x="30" s="1"/>
        <i x="21" s="1"/>
        <i x="32" s="1"/>
        <i x="5" s="1"/>
        <i x="22" s="1"/>
        <i x="11" s="1"/>
        <i x="1" s="1"/>
        <i x="31" s="1"/>
        <i x="27" s="1"/>
        <i x="23" s="1"/>
        <i x="13" s="1"/>
        <i x="25" s="1"/>
        <i x="26" s="1"/>
        <i x="39" s="1"/>
        <i x="36" s="1"/>
        <i x="10" s="1"/>
        <i x="9" s="1"/>
        <i x="12" s="1"/>
        <i x="33" s="1"/>
        <i x="2" s="1"/>
        <i x="19" s="1"/>
        <i x="14" s="1"/>
        <i x="24" s="1"/>
        <i x="20" s="1"/>
        <i x="35" s="1"/>
        <i x="37" s="1"/>
        <i x="6" s="1"/>
        <i x="15" s="1"/>
        <i x="18" s="1"/>
        <i x="3" s="1"/>
        <i x="28" s="1"/>
        <i x="4" s="1"/>
        <i x="8" s="1"/>
        <i x="7" s="1"/>
        <i x="41" s="1" nd="1"/>
        <i x="40" s="1" nd="1"/>
        <i x="0" s="1" nd="1"/>
      </items>
    </tabular>
  </data>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切片器_订单状态" sourceName="订单状态">
  <pivotTables>
    <pivotTable tabId="7" name="数据透视表3"/>
    <pivotTable tabId="7" name="数据透视表11"/>
    <pivotTable tabId="7" name="数据透视表5"/>
    <pivotTable tabId="7" name="数据透视表6"/>
    <pivotTable tabId="7" name="数据透视表7"/>
    <pivotTable tabId="7" name="数据透视表8"/>
  </pivotTables>
  <data>
    <tabular pivotCacheId="1">
      <items count="7">
        <i x="3" s="1"/>
        <i x="0" s="1"/>
        <i x="1" s="1"/>
        <i x="2" s="1"/>
        <i x="6" s="1" nd="1"/>
        <i x="5" s="1" nd="1"/>
        <i x="4" s="1" nd="1"/>
      </items>
    </tabular>
  </data>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年 1" cache="切片器_年" caption="年" rowHeight="220133"/>
  <slicer name="月 1" cache="切片器_月" caption="月" rowHeight="220133"/>
  <slicer name="产品分类 1" cache="切片器_产品分类" caption="产品分类" rowHeight="220133"/>
  <slicer name="订单状态 1" cache="切片器_订单状态" caption="订单状态" rowHeight="220133"/>
</slicer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12"/>
  <sheetViews>
    <sheetView topLeftCell="L189" workbookViewId="0">
      <selection activeCell="O2" sqref="O2:O212"/>
    </sheetView>
  </sheetViews>
  <sheetFormatPr defaultColWidth="9" defaultRowHeight="14"/>
  <cols>
    <col min="1" max="11" width="9" style="26"/>
    <col min="12" max="12" width="56.2727272727273" style="26" customWidth="1"/>
    <col min="13" max="13" width="10.2727272727273" style="26" customWidth="1"/>
    <col min="14" max="16384" width="9" style="26"/>
  </cols>
  <sheetData>
    <row r="1" spans="1:145">
      <c r="A1" s="26" t="s">
        <v>0</v>
      </c>
      <c r="B1" s="26" t="s">
        <v>1</v>
      </c>
      <c r="C1" s="26" t="s">
        <v>2</v>
      </c>
      <c r="D1" s="26" t="s">
        <v>3</v>
      </c>
      <c r="E1" s="26" t="s">
        <v>4</v>
      </c>
      <c r="F1" s="26" t="s">
        <v>5</v>
      </c>
      <c r="G1" s="26" t="s">
        <v>6</v>
      </c>
      <c r="H1" s="26" t="s">
        <v>7</v>
      </c>
      <c r="I1" s="26" t="s">
        <v>8</v>
      </c>
      <c r="J1" s="26" t="s">
        <v>9</v>
      </c>
      <c r="K1" s="26" t="s">
        <v>10</v>
      </c>
      <c r="L1" s="26" t="s">
        <v>11</v>
      </c>
      <c r="M1" s="26" t="s">
        <v>12</v>
      </c>
      <c r="N1" s="26" t="s">
        <v>13</v>
      </c>
      <c r="O1" s="26" t="s">
        <v>14</v>
      </c>
      <c r="P1" s="26" t="s">
        <v>15</v>
      </c>
      <c r="Q1" s="26" t="s">
        <v>16</v>
      </c>
      <c r="R1" s="26" t="s">
        <v>17</v>
      </c>
      <c r="S1" s="26" t="s">
        <v>18</v>
      </c>
      <c r="T1" s="26" t="s">
        <v>19</v>
      </c>
      <c r="U1" s="26" t="s">
        <v>20</v>
      </c>
      <c r="V1" s="26" t="s">
        <v>21</v>
      </c>
      <c r="W1" s="26" t="s">
        <v>22</v>
      </c>
      <c r="X1" s="26" t="s">
        <v>23</v>
      </c>
      <c r="Y1" s="26" t="s">
        <v>24</v>
      </c>
      <c r="Z1" s="26" t="s">
        <v>25</v>
      </c>
      <c r="AA1" s="26" t="s">
        <v>26</v>
      </c>
      <c r="AB1" s="26" t="s">
        <v>27</v>
      </c>
      <c r="AC1" s="26" t="s">
        <v>28</v>
      </c>
      <c r="AD1" s="26" t="s">
        <v>29</v>
      </c>
      <c r="AE1" s="26" t="s">
        <v>30</v>
      </c>
      <c r="AF1" s="26" t="s">
        <v>31</v>
      </c>
      <c r="AG1" s="26" t="s">
        <v>32</v>
      </c>
      <c r="AH1" s="26" t="s">
        <v>33</v>
      </c>
      <c r="AI1" s="26" t="s">
        <v>34</v>
      </c>
      <c r="AJ1" s="26" t="s">
        <v>35</v>
      </c>
      <c r="AK1" s="26" t="s">
        <v>36</v>
      </c>
      <c r="AL1" s="26" t="s">
        <v>37</v>
      </c>
      <c r="AM1" s="26" t="s">
        <v>38</v>
      </c>
      <c r="AN1" s="26" t="s">
        <v>39</v>
      </c>
      <c r="AO1" s="26" t="s">
        <v>40</v>
      </c>
      <c r="AP1" s="26" t="s">
        <v>41</v>
      </c>
      <c r="AQ1" s="26" t="s">
        <v>42</v>
      </c>
      <c r="AR1" s="26" t="s">
        <v>43</v>
      </c>
      <c r="AS1" s="26" t="s">
        <v>44</v>
      </c>
      <c r="AT1" s="26" t="s">
        <v>45</v>
      </c>
      <c r="AU1" s="26" t="s">
        <v>46</v>
      </c>
      <c r="AV1" s="26" t="s">
        <v>47</v>
      </c>
      <c r="AW1" s="26" t="s">
        <v>48</v>
      </c>
      <c r="AX1" s="26" t="s">
        <v>49</v>
      </c>
      <c r="AY1" s="26" t="s">
        <v>50</v>
      </c>
      <c r="AZ1" s="26" t="s">
        <v>51</v>
      </c>
      <c r="BA1" s="26" t="s">
        <v>52</v>
      </c>
      <c r="BB1" s="26" t="s">
        <v>53</v>
      </c>
      <c r="BC1" s="26" t="s">
        <v>54</v>
      </c>
      <c r="BD1" s="26" t="s">
        <v>55</v>
      </c>
      <c r="BE1" s="26" t="s">
        <v>56</v>
      </c>
      <c r="BF1" s="26" t="s">
        <v>57</v>
      </c>
      <c r="BG1" s="26" t="s">
        <v>58</v>
      </c>
      <c r="BH1" s="26" t="s">
        <v>59</v>
      </c>
      <c r="BI1" s="26" t="s">
        <v>60</v>
      </c>
      <c r="BJ1" s="26" t="s">
        <v>61</v>
      </c>
      <c r="BK1" s="26" t="s">
        <v>62</v>
      </c>
      <c r="BL1" s="26" t="s">
        <v>63</v>
      </c>
      <c r="BM1" s="26" t="s">
        <v>64</v>
      </c>
      <c r="BN1" s="26" t="s">
        <v>65</v>
      </c>
      <c r="BO1" s="26" t="s">
        <v>66</v>
      </c>
      <c r="BP1" s="26" t="s">
        <v>67</v>
      </c>
      <c r="BQ1" s="26" t="s">
        <v>68</v>
      </c>
      <c r="BR1" s="26" t="s">
        <v>69</v>
      </c>
      <c r="BS1" s="26" t="s">
        <v>70</v>
      </c>
      <c r="BT1" s="26" t="s">
        <v>71</v>
      </c>
      <c r="BU1" s="26" t="s">
        <v>72</v>
      </c>
      <c r="BV1" s="26" t="s">
        <v>73</v>
      </c>
      <c r="BW1" s="26" t="s">
        <v>74</v>
      </c>
      <c r="BX1" s="26" t="s">
        <v>75</v>
      </c>
      <c r="BY1" s="26" t="s">
        <v>76</v>
      </c>
      <c r="BZ1" s="26" t="s">
        <v>77</v>
      </c>
      <c r="CA1" s="26" t="s">
        <v>78</v>
      </c>
      <c r="CB1" s="26" t="s">
        <v>79</v>
      </c>
      <c r="CC1" s="26" t="s">
        <v>80</v>
      </c>
      <c r="CD1" s="26" t="s">
        <v>81</v>
      </c>
      <c r="CE1" s="26" t="s">
        <v>82</v>
      </c>
      <c r="CF1" s="26" t="s">
        <v>83</v>
      </c>
      <c r="CG1" s="26" t="s">
        <v>84</v>
      </c>
      <c r="CH1" s="26" t="s">
        <v>85</v>
      </c>
      <c r="CI1" s="26" t="s">
        <v>86</v>
      </c>
      <c r="CJ1" s="26" t="s">
        <v>87</v>
      </c>
      <c r="CK1" s="26" t="s">
        <v>88</v>
      </c>
      <c r="CL1" s="26" t="s">
        <v>89</v>
      </c>
      <c r="CM1" s="26" t="s">
        <v>90</v>
      </c>
      <c r="CN1" s="26" t="s">
        <v>91</v>
      </c>
      <c r="CO1" s="26" t="s">
        <v>92</v>
      </c>
      <c r="CP1" s="26" t="s">
        <v>93</v>
      </c>
      <c r="CQ1" s="26" t="s">
        <v>94</v>
      </c>
      <c r="CR1" s="26" t="s">
        <v>95</v>
      </c>
      <c r="CS1" s="26" t="s">
        <v>96</v>
      </c>
      <c r="CT1" s="26" t="s">
        <v>97</v>
      </c>
      <c r="CU1" s="26" t="s">
        <v>98</v>
      </c>
      <c r="CV1" s="26" t="s">
        <v>99</v>
      </c>
      <c r="CW1" s="26" t="s">
        <v>100</v>
      </c>
      <c r="CX1" s="26" t="s">
        <v>101</v>
      </c>
      <c r="CY1" s="26" t="s">
        <v>102</v>
      </c>
      <c r="CZ1" s="26" t="s">
        <v>103</v>
      </c>
      <c r="DA1" s="26" t="s">
        <v>104</v>
      </c>
      <c r="DB1" s="26" t="s">
        <v>105</v>
      </c>
      <c r="DC1" s="26" t="s">
        <v>106</v>
      </c>
      <c r="DD1" s="26" t="s">
        <v>107</v>
      </c>
      <c r="DE1" s="26" t="s">
        <v>108</v>
      </c>
      <c r="DF1" s="26" t="s">
        <v>109</v>
      </c>
      <c r="DG1" s="26" t="s">
        <v>110</v>
      </c>
      <c r="DH1" s="26" t="s">
        <v>111</v>
      </c>
      <c r="DI1" s="26" t="s">
        <v>112</v>
      </c>
      <c r="DJ1" s="26" t="s">
        <v>113</v>
      </c>
      <c r="DK1" s="26" t="s">
        <v>114</v>
      </c>
      <c r="DL1" s="26" t="s">
        <v>115</v>
      </c>
      <c r="DM1" s="26" t="s">
        <v>116</v>
      </c>
      <c r="DN1" s="26" t="s">
        <v>117</v>
      </c>
      <c r="DO1" s="26" t="s">
        <v>118</v>
      </c>
      <c r="DP1" s="26" t="s">
        <v>119</v>
      </c>
      <c r="DQ1" s="26" t="s">
        <v>120</v>
      </c>
      <c r="DR1" s="26" t="s">
        <v>121</v>
      </c>
      <c r="DS1" s="26" t="s">
        <v>122</v>
      </c>
      <c r="DT1" s="26" t="s">
        <v>123</v>
      </c>
      <c r="DU1" s="26" t="s">
        <v>124</v>
      </c>
      <c r="DV1" s="26" t="s">
        <v>125</v>
      </c>
      <c r="DW1" s="26" t="s">
        <v>126</v>
      </c>
      <c r="DX1" s="26" t="s">
        <v>127</v>
      </c>
      <c r="DY1" s="26" t="s">
        <v>128</v>
      </c>
      <c r="DZ1" s="26" t="s">
        <v>129</v>
      </c>
      <c r="EA1" s="26" t="s">
        <v>130</v>
      </c>
      <c r="EB1" s="26" t="s">
        <v>131</v>
      </c>
      <c r="EC1" s="26" t="s">
        <v>132</v>
      </c>
      <c r="ED1" s="26" t="s">
        <v>133</v>
      </c>
      <c r="EE1" s="26" t="s">
        <v>134</v>
      </c>
      <c r="EF1" s="26" t="s">
        <v>135</v>
      </c>
      <c r="EG1" s="26" t="s">
        <v>136</v>
      </c>
      <c r="EH1" s="26" t="s">
        <v>137</v>
      </c>
      <c r="EI1" s="26" t="s">
        <v>138</v>
      </c>
      <c r="EJ1" s="26" t="s">
        <v>139</v>
      </c>
      <c r="EK1" s="26" t="s">
        <v>140</v>
      </c>
      <c r="EL1" s="26" t="s">
        <v>141</v>
      </c>
      <c r="EM1" s="26" t="s">
        <v>142</v>
      </c>
      <c r="EN1" s="26" t="s">
        <v>143</v>
      </c>
      <c r="EO1" s="26" t="s">
        <v>144</v>
      </c>
    </row>
    <row r="2" spans="1:144">
      <c r="A2" s="26" t="s">
        <v>145</v>
      </c>
      <c r="B2" s="26" t="s">
        <v>146</v>
      </c>
      <c r="C2" s="26" t="s">
        <v>147</v>
      </c>
      <c r="D2" s="26" t="s">
        <v>148</v>
      </c>
      <c r="E2" s="26" t="s">
        <v>149</v>
      </c>
      <c r="F2" s="26" t="s">
        <v>150</v>
      </c>
      <c r="G2" s="26" t="s">
        <v>151</v>
      </c>
      <c r="H2" s="26" t="s">
        <v>152</v>
      </c>
      <c r="I2" s="26" t="s">
        <v>153</v>
      </c>
      <c r="J2" s="26" t="s">
        <v>154</v>
      </c>
      <c r="K2" s="26" t="s">
        <v>155</v>
      </c>
      <c r="L2" s="26" t="s">
        <v>156</v>
      </c>
      <c r="M2" s="26" t="s">
        <v>157</v>
      </c>
      <c r="N2" s="26" t="s">
        <v>158</v>
      </c>
      <c r="O2" s="26" t="s">
        <v>159</v>
      </c>
      <c r="P2" s="26" t="s">
        <v>160</v>
      </c>
      <c r="Q2" s="26" t="s">
        <v>161</v>
      </c>
      <c r="R2" s="26">
        <v>217.522572</v>
      </c>
      <c r="S2" s="26" t="s">
        <v>161</v>
      </c>
      <c r="T2" s="26">
        <v>217.522572</v>
      </c>
      <c r="U2" s="26" t="s">
        <v>162</v>
      </c>
      <c r="V2" s="26" t="s">
        <v>150</v>
      </c>
      <c r="Y2" s="26" t="s">
        <v>163</v>
      </c>
      <c r="Z2" s="26">
        <v>32.6283858</v>
      </c>
      <c r="AA2" s="26">
        <v>0</v>
      </c>
      <c r="AB2" s="26">
        <v>0</v>
      </c>
      <c r="AC2" s="26">
        <v>42.75</v>
      </c>
      <c r="AD2" s="26" t="s">
        <v>164</v>
      </c>
      <c r="AE2" s="26" t="s">
        <v>164</v>
      </c>
      <c r="AF2" s="26" t="s">
        <v>164</v>
      </c>
      <c r="AG2" s="26" t="s">
        <v>165</v>
      </c>
      <c r="AH2" s="26" t="s">
        <v>166</v>
      </c>
      <c r="AI2" s="26" t="s">
        <v>167</v>
      </c>
      <c r="AJ2" s="26" t="s">
        <v>168</v>
      </c>
      <c r="AK2" s="26" t="s">
        <v>169</v>
      </c>
      <c r="AL2" s="26" t="s">
        <v>170</v>
      </c>
      <c r="AM2" s="26" t="s">
        <v>171</v>
      </c>
      <c r="AN2" s="26" t="s">
        <v>172</v>
      </c>
      <c r="AO2" s="26" t="s">
        <v>173</v>
      </c>
      <c r="AP2" s="26" t="s">
        <v>162</v>
      </c>
      <c r="AQ2" s="26" t="s">
        <v>150</v>
      </c>
      <c r="AR2" s="26" t="s">
        <v>174</v>
      </c>
      <c r="AS2" s="26" t="s">
        <v>175</v>
      </c>
      <c r="AT2" s="26" t="s">
        <v>176</v>
      </c>
      <c r="AU2" s="26" t="s">
        <v>177</v>
      </c>
      <c r="AV2" s="26" t="s">
        <v>177</v>
      </c>
      <c r="AX2" s="26" t="s">
        <v>178</v>
      </c>
      <c r="AY2" s="26" t="s">
        <v>179</v>
      </c>
      <c r="BC2" s="26" t="s">
        <v>147</v>
      </c>
      <c r="BD2" s="26" t="s">
        <v>180</v>
      </c>
      <c r="BE2" s="26" t="s">
        <v>181</v>
      </c>
      <c r="BF2" s="26" t="s">
        <v>167</v>
      </c>
      <c r="BH2" s="26" t="s">
        <v>162</v>
      </c>
      <c r="BI2" s="26" t="s">
        <v>182</v>
      </c>
      <c r="BJ2" s="26" t="s">
        <v>183</v>
      </c>
      <c r="BK2" s="26" t="s">
        <v>184</v>
      </c>
      <c r="BL2" s="26" t="s">
        <v>185</v>
      </c>
      <c r="BM2" s="26" t="s">
        <v>186</v>
      </c>
      <c r="BN2" s="26" t="s">
        <v>162</v>
      </c>
      <c r="BP2" s="26">
        <v>0</v>
      </c>
      <c r="BQ2" s="26" t="s">
        <v>187</v>
      </c>
      <c r="BS2" s="26" t="s">
        <v>188</v>
      </c>
      <c r="BT2" s="26" t="s">
        <v>185</v>
      </c>
      <c r="BV2" s="26">
        <v>34.8032</v>
      </c>
      <c r="BW2" s="26">
        <v>0.16</v>
      </c>
      <c r="BZ2" s="26">
        <v>0</v>
      </c>
      <c r="CA2" s="26" t="s">
        <v>189</v>
      </c>
      <c r="CC2" s="26" t="s">
        <v>162</v>
      </c>
      <c r="CD2" s="26">
        <v>0</v>
      </c>
      <c r="CE2" s="26" t="s">
        <v>190</v>
      </c>
      <c r="CF2" s="26" t="s">
        <v>150</v>
      </c>
      <c r="CG2" s="26" t="s">
        <v>150</v>
      </c>
      <c r="CI2" s="26" t="s">
        <v>191</v>
      </c>
      <c r="CJ2" s="26">
        <v>217.52</v>
      </c>
      <c r="CK2" s="26">
        <v>0</v>
      </c>
      <c r="CL2" s="26">
        <v>10.88</v>
      </c>
      <c r="CM2" s="26">
        <v>52.48</v>
      </c>
      <c r="CQ2" s="26" t="s">
        <v>192</v>
      </c>
      <c r="CR2" s="26" t="s">
        <v>193</v>
      </c>
      <c r="CS2" s="26" t="s">
        <v>150</v>
      </c>
      <c r="CW2" s="26" t="s">
        <v>194</v>
      </c>
      <c r="CX2" s="26" t="s">
        <v>195</v>
      </c>
      <c r="CY2" s="26" t="s">
        <v>196</v>
      </c>
      <c r="CZ2" s="26">
        <v>0</v>
      </c>
      <c r="DA2" s="26" t="s">
        <v>150</v>
      </c>
      <c r="DB2" s="26">
        <v>0</v>
      </c>
      <c r="DK2" s="26" t="s">
        <v>197</v>
      </c>
      <c r="DL2" s="26" t="s">
        <v>198</v>
      </c>
      <c r="DM2" s="26" t="s">
        <v>199</v>
      </c>
      <c r="DN2" s="26" t="s">
        <v>200</v>
      </c>
      <c r="DO2" s="26" t="s">
        <v>201</v>
      </c>
      <c r="DP2" s="26" t="s">
        <v>202</v>
      </c>
      <c r="DR2" s="26" t="s">
        <v>189</v>
      </c>
      <c r="DS2" s="26" t="s">
        <v>189</v>
      </c>
      <c r="DT2" s="26" t="s">
        <v>189</v>
      </c>
      <c r="DU2" s="26" t="s">
        <v>189</v>
      </c>
      <c r="DV2" s="26" t="s">
        <v>203</v>
      </c>
      <c r="DW2" s="26" t="s">
        <v>162</v>
      </c>
      <c r="DX2" s="26" t="s">
        <v>162</v>
      </c>
      <c r="DY2" s="26">
        <v>0</v>
      </c>
      <c r="DZ2" s="26" t="s">
        <v>150</v>
      </c>
      <c r="EA2" s="26" t="s">
        <v>204</v>
      </c>
      <c r="EB2" s="26" t="s">
        <v>205</v>
      </c>
      <c r="EH2" s="26" t="s">
        <v>189</v>
      </c>
      <c r="EI2" s="26">
        <v>0.16</v>
      </c>
      <c r="EJ2" s="26">
        <v>34.8032</v>
      </c>
      <c r="EK2" s="26">
        <v>52.48</v>
      </c>
      <c r="EM2" s="26" t="s">
        <v>206</v>
      </c>
      <c r="EN2" s="26" t="s">
        <v>207</v>
      </c>
    </row>
    <row r="3" spans="1:144">
      <c r="A3" s="26" t="s">
        <v>145</v>
      </c>
      <c r="B3" s="26" t="s">
        <v>146</v>
      </c>
      <c r="C3" s="26" t="s">
        <v>208</v>
      </c>
      <c r="D3" s="26" t="s">
        <v>148</v>
      </c>
      <c r="E3" s="26" t="s">
        <v>149</v>
      </c>
      <c r="G3" s="26" t="s">
        <v>151</v>
      </c>
      <c r="H3" s="26" t="s">
        <v>152</v>
      </c>
      <c r="I3" s="26" t="s">
        <v>153</v>
      </c>
      <c r="J3" s="26" t="s">
        <v>154</v>
      </c>
      <c r="K3" s="26" t="s">
        <v>209</v>
      </c>
      <c r="L3" s="26" t="s">
        <v>210</v>
      </c>
      <c r="M3" s="26" t="s">
        <v>211</v>
      </c>
      <c r="N3" s="26" t="s">
        <v>212</v>
      </c>
      <c r="O3" s="26" t="s">
        <v>213</v>
      </c>
      <c r="P3" s="26" t="s">
        <v>214</v>
      </c>
      <c r="Q3" s="26" t="s">
        <v>215</v>
      </c>
      <c r="R3" s="26">
        <v>282.223629</v>
      </c>
      <c r="S3" s="26" t="s">
        <v>216</v>
      </c>
      <c r="T3" s="26">
        <v>276.269544</v>
      </c>
      <c r="U3" s="26" t="s">
        <v>217</v>
      </c>
      <c r="V3" s="26" t="s">
        <v>150</v>
      </c>
      <c r="Y3" s="26" t="s">
        <v>218</v>
      </c>
      <c r="Z3" s="26">
        <v>42.33354435</v>
      </c>
      <c r="AA3" s="26">
        <v>0</v>
      </c>
      <c r="AB3" s="26">
        <v>0</v>
      </c>
      <c r="AC3" s="26">
        <v>49</v>
      </c>
      <c r="AD3" s="26" t="s">
        <v>219</v>
      </c>
      <c r="AE3" s="26" t="s">
        <v>219</v>
      </c>
      <c r="AF3" s="26" t="s">
        <v>219</v>
      </c>
      <c r="AG3" s="26" t="s">
        <v>220</v>
      </c>
      <c r="AI3" s="26" t="s">
        <v>167</v>
      </c>
      <c r="AJ3" s="26" t="s">
        <v>168</v>
      </c>
      <c r="AK3" s="26" t="s">
        <v>169</v>
      </c>
      <c r="AL3" s="26" t="s">
        <v>221</v>
      </c>
      <c r="AM3" s="26" t="s">
        <v>222</v>
      </c>
      <c r="AN3" s="26" t="s">
        <v>172</v>
      </c>
      <c r="AO3" s="26" t="s">
        <v>223</v>
      </c>
      <c r="AP3" s="26" t="s">
        <v>162</v>
      </c>
      <c r="AQ3" s="26" t="s">
        <v>224</v>
      </c>
      <c r="AR3" s="26" t="s">
        <v>225</v>
      </c>
      <c r="AS3" s="26" t="s">
        <v>226</v>
      </c>
      <c r="AU3" s="26" t="s">
        <v>227</v>
      </c>
      <c r="AV3" s="26" t="s">
        <v>227</v>
      </c>
      <c r="AX3" s="26" t="s">
        <v>228</v>
      </c>
      <c r="AY3" s="26" t="s">
        <v>179</v>
      </c>
      <c r="BC3" s="26" t="s">
        <v>208</v>
      </c>
      <c r="BD3" s="26" t="s">
        <v>180</v>
      </c>
      <c r="BE3" s="26" t="s">
        <v>181</v>
      </c>
      <c r="BF3" s="26" t="s">
        <v>167</v>
      </c>
      <c r="BH3" s="26" t="s">
        <v>162</v>
      </c>
      <c r="BI3" s="26" t="s">
        <v>182</v>
      </c>
      <c r="BJ3" s="26" t="s">
        <v>229</v>
      </c>
      <c r="BK3" s="26" t="s">
        <v>184</v>
      </c>
      <c r="BL3" s="26" t="s">
        <v>185</v>
      </c>
      <c r="BM3" s="26" t="s">
        <v>186</v>
      </c>
      <c r="BN3" s="26" t="s">
        <v>162</v>
      </c>
      <c r="BP3" s="26">
        <v>0</v>
      </c>
      <c r="BQ3" s="26" t="s">
        <v>223</v>
      </c>
      <c r="BS3" s="26" t="s">
        <v>230</v>
      </c>
      <c r="BT3" s="26" t="s">
        <v>185</v>
      </c>
      <c r="BV3" s="26">
        <v>39.5108</v>
      </c>
      <c r="BW3" s="26">
        <v>0.14</v>
      </c>
      <c r="BZ3" s="26">
        <v>0</v>
      </c>
      <c r="CA3" s="26" t="s">
        <v>189</v>
      </c>
      <c r="CC3" s="26" t="s">
        <v>162</v>
      </c>
      <c r="CD3" s="26">
        <v>0</v>
      </c>
      <c r="CE3" s="26" t="s">
        <v>190</v>
      </c>
      <c r="CF3" s="26" t="s">
        <v>167</v>
      </c>
      <c r="CG3" s="26" t="s">
        <v>231</v>
      </c>
      <c r="CI3" s="26" t="s">
        <v>232</v>
      </c>
      <c r="CJ3" s="26">
        <v>282.22</v>
      </c>
      <c r="CK3" s="26">
        <v>0</v>
      </c>
      <c r="CL3" s="26">
        <v>14.11</v>
      </c>
      <c r="CM3" s="26">
        <v>71.63</v>
      </c>
      <c r="CQ3" s="26" t="s">
        <v>233</v>
      </c>
      <c r="CR3" s="26" t="s">
        <v>234</v>
      </c>
      <c r="CS3" s="26" t="s">
        <v>235</v>
      </c>
      <c r="CW3" s="26" t="s">
        <v>236</v>
      </c>
      <c r="CX3" s="26" t="s">
        <v>167</v>
      </c>
      <c r="CY3" s="26" t="s">
        <v>196</v>
      </c>
      <c r="CZ3" s="26">
        <v>0</v>
      </c>
      <c r="DB3" s="26">
        <v>0</v>
      </c>
      <c r="DK3" s="26" t="s">
        <v>150</v>
      </c>
      <c r="DL3" s="26" t="s">
        <v>237</v>
      </c>
      <c r="DM3" s="26" t="s">
        <v>238</v>
      </c>
      <c r="DN3" s="26" t="s">
        <v>239</v>
      </c>
      <c r="DO3" s="26" t="s">
        <v>240</v>
      </c>
      <c r="DP3" s="26" t="s">
        <v>241</v>
      </c>
      <c r="DR3" s="26" t="s">
        <v>189</v>
      </c>
      <c r="DS3" s="26" t="s">
        <v>189</v>
      </c>
      <c r="DT3" s="26" t="s">
        <v>189</v>
      </c>
      <c r="DU3" s="26" t="s">
        <v>189</v>
      </c>
      <c r="DV3" s="26" t="s">
        <v>203</v>
      </c>
      <c r="DW3" s="26" t="s">
        <v>162</v>
      </c>
      <c r="DX3" s="26" t="s">
        <v>162</v>
      </c>
      <c r="DY3" s="26">
        <v>0</v>
      </c>
      <c r="DZ3" s="26" t="s">
        <v>150</v>
      </c>
      <c r="EH3" s="26" t="s">
        <v>189</v>
      </c>
      <c r="EI3" s="26">
        <v>0.14</v>
      </c>
      <c r="EJ3" s="26">
        <v>39.5108</v>
      </c>
      <c r="EK3" s="26">
        <v>71.63</v>
      </c>
      <c r="EL3" s="26" t="s">
        <v>242</v>
      </c>
      <c r="EM3" s="26" t="s">
        <v>206</v>
      </c>
      <c r="EN3" s="26" t="s">
        <v>207</v>
      </c>
    </row>
    <row r="4" spans="1:144">
      <c r="A4" s="26" t="s">
        <v>145</v>
      </c>
      <c r="B4" s="26" t="s">
        <v>146</v>
      </c>
      <c r="C4" s="26" t="s">
        <v>243</v>
      </c>
      <c r="D4" s="26" t="s">
        <v>148</v>
      </c>
      <c r="E4" s="26" t="s">
        <v>149</v>
      </c>
      <c r="G4" s="26" t="s">
        <v>151</v>
      </c>
      <c r="H4" s="26" t="s">
        <v>152</v>
      </c>
      <c r="I4" s="26" t="s">
        <v>153</v>
      </c>
      <c r="J4" s="26" t="s">
        <v>154</v>
      </c>
      <c r="K4" s="26" t="s">
        <v>244</v>
      </c>
      <c r="L4" s="26" t="s">
        <v>245</v>
      </c>
      <c r="M4" s="26" t="s">
        <v>246</v>
      </c>
      <c r="N4" s="26" t="s">
        <v>247</v>
      </c>
      <c r="O4" s="26" t="s">
        <v>248</v>
      </c>
      <c r="P4" s="26" t="s">
        <v>249</v>
      </c>
      <c r="Q4" s="26" t="s">
        <v>250</v>
      </c>
      <c r="R4" s="26">
        <v>395.748183</v>
      </c>
      <c r="S4" s="26" t="s">
        <v>251</v>
      </c>
      <c r="T4" s="26">
        <v>188.546025</v>
      </c>
      <c r="U4" s="26" t="s">
        <v>217</v>
      </c>
      <c r="V4" s="26" t="s">
        <v>150</v>
      </c>
      <c r="Y4" s="26" t="s">
        <v>252</v>
      </c>
      <c r="Z4" s="26">
        <v>29.67912903</v>
      </c>
      <c r="AA4" s="26">
        <v>0</v>
      </c>
      <c r="AB4" s="26">
        <v>0</v>
      </c>
      <c r="AC4" s="26">
        <v>38</v>
      </c>
      <c r="AD4" s="26" t="s">
        <v>253</v>
      </c>
      <c r="AE4" s="26" t="s">
        <v>253</v>
      </c>
      <c r="AF4" s="26" t="s">
        <v>253</v>
      </c>
      <c r="AG4" s="26" t="s">
        <v>254</v>
      </c>
      <c r="AI4" s="26" t="s">
        <v>167</v>
      </c>
      <c r="AJ4" s="26" t="s">
        <v>168</v>
      </c>
      <c r="AK4" s="26" t="s">
        <v>169</v>
      </c>
      <c r="AL4" s="26" t="s">
        <v>255</v>
      </c>
      <c r="AM4" s="26" t="s">
        <v>256</v>
      </c>
      <c r="AN4" s="26" t="s">
        <v>172</v>
      </c>
      <c r="AO4" s="26" t="s">
        <v>257</v>
      </c>
      <c r="AP4" s="26" t="s">
        <v>162</v>
      </c>
      <c r="AQ4" s="26" t="s">
        <v>258</v>
      </c>
      <c r="AR4" s="26" t="s">
        <v>259</v>
      </c>
      <c r="AS4" s="26" t="s">
        <v>260</v>
      </c>
      <c r="AU4" s="26" t="s">
        <v>261</v>
      </c>
      <c r="AV4" s="26" t="s">
        <v>261</v>
      </c>
      <c r="AX4" s="26" t="s">
        <v>262</v>
      </c>
      <c r="AY4" s="26" t="s">
        <v>179</v>
      </c>
      <c r="BC4" s="26" t="s">
        <v>243</v>
      </c>
      <c r="BD4" s="26" t="s">
        <v>180</v>
      </c>
      <c r="BE4" s="26" t="s">
        <v>181</v>
      </c>
      <c r="BF4" s="26" t="s">
        <v>167</v>
      </c>
      <c r="BH4" s="26" t="s">
        <v>162</v>
      </c>
      <c r="BI4" s="26" t="s">
        <v>182</v>
      </c>
      <c r="BJ4" s="26" t="s">
        <v>263</v>
      </c>
      <c r="BK4" s="26" t="s">
        <v>264</v>
      </c>
      <c r="BL4" s="26" t="s">
        <v>185</v>
      </c>
      <c r="BM4" s="26" t="s">
        <v>186</v>
      </c>
      <c r="BN4" s="26" t="s">
        <v>162</v>
      </c>
      <c r="BP4" s="26">
        <v>0</v>
      </c>
      <c r="BQ4" s="26" t="s">
        <v>265</v>
      </c>
      <c r="BS4" s="26" t="s">
        <v>188</v>
      </c>
      <c r="BT4" s="26" t="s">
        <v>185</v>
      </c>
      <c r="BV4" s="26">
        <v>31.12</v>
      </c>
      <c r="BW4" s="26">
        <v>0.16</v>
      </c>
      <c r="BZ4" s="26">
        <v>0</v>
      </c>
      <c r="CA4" s="26" t="s">
        <v>189</v>
      </c>
      <c r="CC4" s="26" t="s">
        <v>162</v>
      </c>
      <c r="CD4" s="26">
        <v>0</v>
      </c>
      <c r="CE4" s="26" t="s">
        <v>190</v>
      </c>
      <c r="CF4" s="26" t="s">
        <v>195</v>
      </c>
      <c r="CG4" s="26" t="s">
        <v>266</v>
      </c>
      <c r="CI4" s="26" t="s">
        <v>267</v>
      </c>
      <c r="CJ4" s="26">
        <v>194.5</v>
      </c>
      <c r="CK4" s="26">
        <v>0</v>
      </c>
      <c r="CL4" s="26">
        <v>9.73</v>
      </c>
      <c r="CM4" s="26">
        <v>50.37</v>
      </c>
      <c r="CQ4" s="26" t="s">
        <v>192</v>
      </c>
      <c r="CR4" s="26" t="s">
        <v>268</v>
      </c>
      <c r="CS4" s="26" t="s">
        <v>269</v>
      </c>
      <c r="CW4" s="26" t="s">
        <v>270</v>
      </c>
      <c r="CX4" s="26" t="s">
        <v>167</v>
      </c>
      <c r="CY4" s="26" t="s">
        <v>196</v>
      </c>
      <c r="CZ4" s="26">
        <v>0</v>
      </c>
      <c r="DB4" s="26">
        <v>0</v>
      </c>
      <c r="DK4" s="26" t="s">
        <v>150</v>
      </c>
      <c r="DL4" s="26" t="s">
        <v>237</v>
      </c>
      <c r="DM4" s="26" t="s">
        <v>238</v>
      </c>
      <c r="DN4" s="26" t="s">
        <v>271</v>
      </c>
      <c r="DO4" s="26" t="s">
        <v>240</v>
      </c>
      <c r="DP4" s="26" t="s">
        <v>272</v>
      </c>
      <c r="DR4" s="26" t="s">
        <v>189</v>
      </c>
      <c r="DS4" s="26" t="s">
        <v>189</v>
      </c>
      <c r="DT4" s="26" t="s">
        <v>189</v>
      </c>
      <c r="DU4" s="26" t="s">
        <v>189</v>
      </c>
      <c r="DV4" s="26" t="s">
        <v>203</v>
      </c>
      <c r="DW4" s="26" t="s">
        <v>162</v>
      </c>
      <c r="DX4" s="26" t="s">
        <v>162</v>
      </c>
      <c r="DY4" s="26">
        <v>0</v>
      </c>
      <c r="DZ4" s="26" t="s">
        <v>150</v>
      </c>
      <c r="EH4" s="26" t="s">
        <v>189</v>
      </c>
      <c r="EI4" s="26">
        <v>0.16</v>
      </c>
      <c r="EJ4" s="26">
        <v>31.12</v>
      </c>
      <c r="EK4" s="26">
        <v>50.37</v>
      </c>
      <c r="EL4" s="26" t="s">
        <v>273</v>
      </c>
      <c r="EM4" s="26" t="s">
        <v>206</v>
      </c>
      <c r="EN4" s="26" t="s">
        <v>207</v>
      </c>
    </row>
    <row r="5" spans="1:144">
      <c r="A5" s="26" t="s">
        <v>145</v>
      </c>
      <c r="B5" s="26" t="s">
        <v>146</v>
      </c>
      <c r="C5" s="26" t="s">
        <v>243</v>
      </c>
      <c r="D5" s="26" t="s">
        <v>148</v>
      </c>
      <c r="E5" s="26" t="s">
        <v>149</v>
      </c>
      <c r="G5" s="26" t="s">
        <v>151</v>
      </c>
      <c r="H5" s="26" t="s">
        <v>152</v>
      </c>
      <c r="I5" s="26" t="s">
        <v>153</v>
      </c>
      <c r="J5" s="26" t="s">
        <v>154</v>
      </c>
      <c r="K5" s="26" t="s">
        <v>244</v>
      </c>
      <c r="L5" s="26" t="s">
        <v>245</v>
      </c>
      <c r="M5" s="26" t="s">
        <v>246</v>
      </c>
      <c r="O5" s="26" t="s">
        <v>274</v>
      </c>
      <c r="P5" s="26" t="s">
        <v>275</v>
      </c>
      <c r="S5" s="26" t="s">
        <v>276</v>
      </c>
      <c r="T5" s="26">
        <v>195.293988</v>
      </c>
      <c r="U5" s="26" t="s">
        <v>217</v>
      </c>
      <c r="V5" s="26" t="s">
        <v>150</v>
      </c>
      <c r="Y5" s="26" t="s">
        <v>252</v>
      </c>
      <c r="Z5" s="26">
        <v>29.67912903</v>
      </c>
      <c r="AA5" s="26">
        <v>0</v>
      </c>
      <c r="AB5" s="26">
        <v>0</v>
      </c>
      <c r="AC5" s="26">
        <v>38</v>
      </c>
      <c r="AD5" s="26" t="s">
        <v>253</v>
      </c>
      <c r="AE5" s="26" t="s">
        <v>253</v>
      </c>
      <c r="AF5" s="26" t="s">
        <v>253</v>
      </c>
      <c r="AG5" s="26" t="s">
        <v>277</v>
      </c>
      <c r="AI5" s="26" t="s">
        <v>167</v>
      </c>
      <c r="AJ5" s="26" t="s">
        <v>168</v>
      </c>
      <c r="AK5" s="26" t="s">
        <v>169</v>
      </c>
      <c r="AM5" s="26" t="s">
        <v>278</v>
      </c>
      <c r="AN5" s="26" t="s">
        <v>172</v>
      </c>
      <c r="AO5" s="26" t="s">
        <v>257</v>
      </c>
      <c r="AP5" s="26" t="s">
        <v>162</v>
      </c>
      <c r="AQ5" s="26" t="s">
        <v>258</v>
      </c>
      <c r="AR5" s="26" t="s">
        <v>259</v>
      </c>
      <c r="AS5" s="26" t="s">
        <v>260</v>
      </c>
      <c r="AU5" s="26" t="s">
        <v>261</v>
      </c>
      <c r="AV5" s="26" t="s">
        <v>261</v>
      </c>
      <c r="AX5" s="26" t="s">
        <v>262</v>
      </c>
      <c r="AY5" s="26" t="s">
        <v>179</v>
      </c>
      <c r="BC5" s="26" t="s">
        <v>243</v>
      </c>
      <c r="BD5" s="26" t="s">
        <v>180</v>
      </c>
      <c r="BE5" s="26" t="s">
        <v>181</v>
      </c>
      <c r="BF5" s="26" t="s">
        <v>167</v>
      </c>
      <c r="BH5" s="26" t="s">
        <v>162</v>
      </c>
      <c r="BI5" s="26" t="s">
        <v>182</v>
      </c>
      <c r="BJ5" s="26" t="s">
        <v>263</v>
      </c>
      <c r="BK5" s="26" t="s">
        <v>264</v>
      </c>
      <c r="BL5" s="26" t="s">
        <v>185</v>
      </c>
      <c r="BM5" s="26" t="s">
        <v>186</v>
      </c>
      <c r="BN5" s="26" t="s">
        <v>162</v>
      </c>
      <c r="BP5" s="26">
        <v>0</v>
      </c>
      <c r="BQ5" s="26" t="s">
        <v>265</v>
      </c>
      <c r="BS5" s="26" t="s">
        <v>188</v>
      </c>
      <c r="BT5" s="26" t="s">
        <v>185</v>
      </c>
      <c r="BV5" s="26">
        <v>32.2</v>
      </c>
      <c r="BW5" s="26">
        <v>0.16</v>
      </c>
      <c r="BZ5" s="26">
        <v>0</v>
      </c>
      <c r="CA5" s="26" t="s">
        <v>189</v>
      </c>
      <c r="CC5" s="26" t="s">
        <v>162</v>
      </c>
      <c r="CD5" s="26">
        <v>0</v>
      </c>
      <c r="CE5" s="26" t="s">
        <v>190</v>
      </c>
      <c r="CF5" s="26" t="s">
        <v>167</v>
      </c>
      <c r="CG5" s="26" t="s">
        <v>279</v>
      </c>
      <c r="CI5" s="26" t="s">
        <v>267</v>
      </c>
      <c r="CJ5" s="26">
        <v>201.25</v>
      </c>
      <c r="CK5" s="26">
        <v>0</v>
      </c>
      <c r="CL5" s="26">
        <v>10.06</v>
      </c>
      <c r="CM5" s="26">
        <v>51.05</v>
      </c>
      <c r="CQ5" s="26" t="s">
        <v>192</v>
      </c>
      <c r="CR5" s="26" t="s">
        <v>268</v>
      </c>
      <c r="CS5" s="26" t="s">
        <v>269</v>
      </c>
      <c r="CW5" s="26" t="s">
        <v>280</v>
      </c>
      <c r="CX5" s="26" t="s">
        <v>167</v>
      </c>
      <c r="CY5" s="26" t="s">
        <v>196</v>
      </c>
      <c r="CZ5" s="26">
        <v>0</v>
      </c>
      <c r="DB5" s="26">
        <v>0</v>
      </c>
      <c r="DK5" s="26" t="s">
        <v>150</v>
      </c>
      <c r="DL5" s="26" t="s">
        <v>237</v>
      </c>
      <c r="DM5" s="26" t="s">
        <v>238</v>
      </c>
      <c r="DN5" s="26" t="s">
        <v>271</v>
      </c>
      <c r="DO5" s="26" t="s">
        <v>240</v>
      </c>
      <c r="DP5" s="26" t="s">
        <v>272</v>
      </c>
      <c r="DR5" s="26" t="s">
        <v>189</v>
      </c>
      <c r="DS5" s="26" t="s">
        <v>189</v>
      </c>
      <c r="DT5" s="26" t="s">
        <v>189</v>
      </c>
      <c r="DU5" s="26" t="s">
        <v>189</v>
      </c>
      <c r="DV5" s="26" t="s">
        <v>203</v>
      </c>
      <c r="DW5" s="26" t="s">
        <v>162</v>
      </c>
      <c r="DX5" s="26" t="s">
        <v>162</v>
      </c>
      <c r="DY5" s="26">
        <v>0</v>
      </c>
      <c r="DZ5" s="26" t="s">
        <v>150</v>
      </c>
      <c r="EH5" s="26" t="s">
        <v>189</v>
      </c>
      <c r="EI5" s="26">
        <v>0.16</v>
      </c>
      <c r="EJ5" s="26">
        <v>32.2</v>
      </c>
      <c r="EK5" s="26">
        <v>51.05</v>
      </c>
      <c r="EL5" s="26" t="s">
        <v>281</v>
      </c>
      <c r="EM5" s="26" t="s">
        <v>206</v>
      </c>
      <c r="EN5" s="26" t="s">
        <v>207</v>
      </c>
    </row>
    <row r="6" spans="1:144">
      <c r="A6" s="26" t="s">
        <v>145</v>
      </c>
      <c r="B6" s="26" t="s">
        <v>146</v>
      </c>
      <c r="C6" s="26" t="s">
        <v>282</v>
      </c>
      <c r="D6" s="26" t="s">
        <v>148</v>
      </c>
      <c r="E6" s="26" t="s">
        <v>149</v>
      </c>
      <c r="G6" s="26" t="s">
        <v>151</v>
      </c>
      <c r="H6" s="26" t="s">
        <v>152</v>
      </c>
      <c r="I6" s="26" t="s">
        <v>153</v>
      </c>
      <c r="J6" s="26" t="s">
        <v>154</v>
      </c>
      <c r="K6" s="26" t="s">
        <v>244</v>
      </c>
      <c r="L6" s="26" t="s">
        <v>283</v>
      </c>
      <c r="M6" s="26" t="s">
        <v>284</v>
      </c>
      <c r="N6" s="26" t="s">
        <v>285</v>
      </c>
      <c r="O6" s="26" t="s">
        <v>286</v>
      </c>
      <c r="P6" s="26" t="s">
        <v>287</v>
      </c>
      <c r="Q6" s="26" t="s">
        <v>288</v>
      </c>
      <c r="R6" s="26">
        <v>682.338141</v>
      </c>
      <c r="S6" s="26" t="s">
        <v>289</v>
      </c>
      <c r="T6" s="26">
        <v>199.660317</v>
      </c>
      <c r="U6" s="26" t="s">
        <v>217</v>
      </c>
      <c r="V6" s="26" t="s">
        <v>150</v>
      </c>
      <c r="Y6" s="26" t="s">
        <v>290</v>
      </c>
      <c r="Z6" s="26">
        <v>34.11690705</v>
      </c>
      <c r="AA6" s="26">
        <v>0</v>
      </c>
      <c r="AB6" s="26">
        <v>0</v>
      </c>
      <c r="AC6" s="26">
        <v>40</v>
      </c>
      <c r="AD6" s="26" t="s">
        <v>291</v>
      </c>
      <c r="AE6" s="26" t="s">
        <v>291</v>
      </c>
      <c r="AF6" s="26" t="s">
        <v>291</v>
      </c>
      <c r="AG6" s="26" t="s">
        <v>292</v>
      </c>
      <c r="AI6" s="26" t="s">
        <v>167</v>
      </c>
      <c r="AJ6" s="26" t="s">
        <v>168</v>
      </c>
      <c r="AK6" s="26" t="s">
        <v>169</v>
      </c>
      <c r="AL6" s="26" t="s">
        <v>293</v>
      </c>
      <c r="AM6" s="26" t="s">
        <v>294</v>
      </c>
      <c r="AN6" s="26" t="s">
        <v>172</v>
      </c>
      <c r="AO6" s="26" t="s">
        <v>295</v>
      </c>
      <c r="AP6" s="26" t="s">
        <v>162</v>
      </c>
      <c r="AQ6" s="26" t="s">
        <v>296</v>
      </c>
      <c r="AR6" s="26" t="s">
        <v>297</v>
      </c>
      <c r="AS6" s="26" t="s">
        <v>298</v>
      </c>
      <c r="AU6" s="26" t="s">
        <v>299</v>
      </c>
      <c r="AV6" s="26" t="s">
        <v>299</v>
      </c>
      <c r="AX6" s="26" t="s">
        <v>300</v>
      </c>
      <c r="AY6" s="26" t="s">
        <v>179</v>
      </c>
      <c r="BC6" s="26" t="s">
        <v>282</v>
      </c>
      <c r="BD6" s="26" t="s">
        <v>180</v>
      </c>
      <c r="BE6" s="26" t="s">
        <v>181</v>
      </c>
      <c r="BF6" s="26" t="s">
        <v>167</v>
      </c>
      <c r="BH6" s="26" t="s">
        <v>162</v>
      </c>
      <c r="BI6" s="26" t="s">
        <v>182</v>
      </c>
      <c r="BJ6" s="26" t="s">
        <v>301</v>
      </c>
      <c r="BK6" s="26" t="s">
        <v>302</v>
      </c>
      <c r="BL6" s="26" t="s">
        <v>185</v>
      </c>
      <c r="BM6" s="26" t="s">
        <v>186</v>
      </c>
      <c r="BN6" s="26" t="s">
        <v>162</v>
      </c>
      <c r="BP6" s="26">
        <v>0</v>
      </c>
      <c r="BQ6" s="26" t="s">
        <v>303</v>
      </c>
      <c r="BS6" s="26" t="s">
        <v>304</v>
      </c>
      <c r="BT6" s="26" t="s">
        <v>185</v>
      </c>
      <c r="BV6" s="26">
        <v>32.8976</v>
      </c>
      <c r="BW6" s="26">
        <v>0.16</v>
      </c>
      <c r="BZ6" s="26">
        <v>0</v>
      </c>
      <c r="CA6" s="26" t="s">
        <v>189</v>
      </c>
      <c r="CC6" s="26" t="s">
        <v>162</v>
      </c>
      <c r="CD6" s="26">
        <v>0</v>
      </c>
      <c r="CE6" s="26" t="s">
        <v>190</v>
      </c>
      <c r="CF6" s="26" t="s">
        <v>305</v>
      </c>
      <c r="CG6" s="26" t="s">
        <v>306</v>
      </c>
      <c r="CI6" s="26" t="s">
        <v>267</v>
      </c>
      <c r="CJ6" s="26">
        <v>205.61</v>
      </c>
      <c r="CK6" s="26">
        <v>0</v>
      </c>
      <c r="CL6" s="26">
        <v>10.28</v>
      </c>
      <c r="CM6" s="26">
        <v>58.19</v>
      </c>
      <c r="CQ6" s="26" t="s">
        <v>233</v>
      </c>
      <c r="CR6" s="26" t="s">
        <v>307</v>
      </c>
      <c r="CS6" s="26" t="s">
        <v>308</v>
      </c>
      <c r="CW6" s="26" t="s">
        <v>309</v>
      </c>
      <c r="CX6" s="26" t="s">
        <v>167</v>
      </c>
      <c r="CY6" s="26" t="s">
        <v>196</v>
      </c>
      <c r="CZ6" s="26">
        <v>0</v>
      </c>
      <c r="DB6" s="26">
        <v>0</v>
      </c>
      <c r="DK6" s="26" t="s">
        <v>150</v>
      </c>
      <c r="DL6" s="26" t="s">
        <v>198</v>
      </c>
      <c r="DM6" s="26" t="s">
        <v>238</v>
      </c>
      <c r="DN6" s="26" t="s">
        <v>310</v>
      </c>
      <c r="DO6" s="26" t="s">
        <v>240</v>
      </c>
      <c r="DP6" s="26" t="s">
        <v>311</v>
      </c>
      <c r="DR6" s="26" t="s">
        <v>189</v>
      </c>
      <c r="DS6" s="26" t="s">
        <v>189</v>
      </c>
      <c r="DT6" s="26" t="s">
        <v>189</v>
      </c>
      <c r="DU6" s="26" t="s">
        <v>189</v>
      </c>
      <c r="DV6" s="26" t="s">
        <v>203</v>
      </c>
      <c r="DW6" s="26" t="s">
        <v>162</v>
      </c>
      <c r="DX6" s="26" t="s">
        <v>162</v>
      </c>
      <c r="DY6" s="26">
        <v>0</v>
      </c>
      <c r="DZ6" s="26" t="s">
        <v>150</v>
      </c>
      <c r="EH6" s="26" t="s">
        <v>189</v>
      </c>
      <c r="EI6" s="26">
        <v>0.16</v>
      </c>
      <c r="EJ6" s="26">
        <v>32.8976</v>
      </c>
      <c r="EK6" s="26">
        <v>58.19</v>
      </c>
      <c r="EL6" s="26" t="s">
        <v>312</v>
      </c>
      <c r="EM6" s="26" t="s">
        <v>206</v>
      </c>
      <c r="EN6" s="26" t="s">
        <v>207</v>
      </c>
    </row>
    <row r="7" spans="1:144">
      <c r="A7" s="26" t="s">
        <v>145</v>
      </c>
      <c r="B7" s="26" t="s">
        <v>146</v>
      </c>
      <c r="C7" s="26" t="s">
        <v>282</v>
      </c>
      <c r="D7" s="26" t="s">
        <v>148</v>
      </c>
      <c r="E7" s="26" t="s">
        <v>149</v>
      </c>
      <c r="G7" s="26" t="s">
        <v>151</v>
      </c>
      <c r="H7" s="26" t="s">
        <v>152</v>
      </c>
      <c r="I7" s="26" t="s">
        <v>153</v>
      </c>
      <c r="J7" s="26" t="s">
        <v>154</v>
      </c>
      <c r="K7" s="26" t="s">
        <v>155</v>
      </c>
      <c r="L7" s="26" t="s">
        <v>313</v>
      </c>
      <c r="M7" s="26" t="s">
        <v>284</v>
      </c>
      <c r="O7" s="26" t="s">
        <v>314</v>
      </c>
      <c r="P7" s="26" t="s">
        <v>315</v>
      </c>
      <c r="S7" s="26" t="s">
        <v>316</v>
      </c>
      <c r="T7" s="26">
        <v>232.209315</v>
      </c>
      <c r="U7" s="26" t="s">
        <v>217</v>
      </c>
      <c r="V7" s="26" t="s">
        <v>150</v>
      </c>
      <c r="Y7" s="26" t="s">
        <v>290</v>
      </c>
      <c r="Z7" s="26">
        <v>34.11690705</v>
      </c>
      <c r="AA7" s="26">
        <v>0</v>
      </c>
      <c r="AB7" s="26">
        <v>0</v>
      </c>
      <c r="AC7" s="26">
        <v>51</v>
      </c>
      <c r="AD7" s="26" t="s">
        <v>317</v>
      </c>
      <c r="AE7" s="26" t="s">
        <v>317</v>
      </c>
      <c r="AF7" s="26" t="s">
        <v>317</v>
      </c>
      <c r="AG7" s="26" t="s">
        <v>318</v>
      </c>
      <c r="AI7" s="26" t="s">
        <v>167</v>
      </c>
      <c r="AJ7" s="26" t="s">
        <v>168</v>
      </c>
      <c r="AK7" s="26" t="s">
        <v>169</v>
      </c>
      <c r="AM7" s="26" t="s">
        <v>319</v>
      </c>
      <c r="AN7" s="26" t="s">
        <v>172</v>
      </c>
      <c r="AO7" s="26" t="s">
        <v>320</v>
      </c>
      <c r="AP7" s="26" t="s">
        <v>162</v>
      </c>
      <c r="AQ7" s="26" t="s">
        <v>296</v>
      </c>
      <c r="AR7" s="26" t="s">
        <v>297</v>
      </c>
      <c r="AS7" s="26" t="s">
        <v>321</v>
      </c>
      <c r="AU7" s="26" t="s">
        <v>299</v>
      </c>
      <c r="AV7" s="26" t="s">
        <v>299</v>
      </c>
      <c r="AX7" s="26" t="s">
        <v>322</v>
      </c>
      <c r="AY7" s="26" t="s">
        <v>179</v>
      </c>
      <c r="BC7" s="26" t="s">
        <v>282</v>
      </c>
      <c r="BD7" s="26" t="s">
        <v>180</v>
      </c>
      <c r="BE7" s="26" t="s">
        <v>181</v>
      </c>
      <c r="BF7" s="26" t="s">
        <v>167</v>
      </c>
      <c r="BH7" s="26" t="s">
        <v>162</v>
      </c>
      <c r="BI7" s="26" t="s">
        <v>182</v>
      </c>
      <c r="BJ7" s="26" t="s">
        <v>323</v>
      </c>
      <c r="BK7" s="26" t="s">
        <v>302</v>
      </c>
      <c r="BL7" s="26" t="s">
        <v>185</v>
      </c>
      <c r="BM7" s="26" t="s">
        <v>186</v>
      </c>
      <c r="BN7" s="26" t="s">
        <v>162</v>
      </c>
      <c r="BP7" s="26">
        <v>0</v>
      </c>
      <c r="BQ7" s="26" t="s">
        <v>324</v>
      </c>
      <c r="BS7" s="26" t="s">
        <v>230</v>
      </c>
      <c r="BT7" s="26" t="s">
        <v>185</v>
      </c>
      <c r="BV7" s="26">
        <v>38.1056</v>
      </c>
      <c r="BW7" s="26">
        <v>0.16</v>
      </c>
      <c r="BZ7" s="26">
        <v>0</v>
      </c>
      <c r="CA7" s="26" t="s">
        <v>189</v>
      </c>
      <c r="CC7" s="26" t="s">
        <v>162</v>
      </c>
      <c r="CD7" s="26">
        <v>0</v>
      </c>
      <c r="CE7" s="26" t="s">
        <v>190</v>
      </c>
      <c r="CF7" s="26" t="s">
        <v>195</v>
      </c>
      <c r="CG7" s="26" t="s">
        <v>325</v>
      </c>
      <c r="CI7" s="26" t="s">
        <v>191</v>
      </c>
      <c r="CJ7" s="26">
        <v>238.16</v>
      </c>
      <c r="CK7" s="26">
        <v>0</v>
      </c>
      <c r="CL7" s="26">
        <v>11.91</v>
      </c>
      <c r="CM7" s="26">
        <v>69.79</v>
      </c>
      <c r="CQ7" s="26" t="s">
        <v>233</v>
      </c>
      <c r="CR7" s="26" t="s">
        <v>307</v>
      </c>
      <c r="CS7" s="26" t="s">
        <v>308</v>
      </c>
      <c r="CW7" s="26" t="s">
        <v>326</v>
      </c>
      <c r="CX7" s="26" t="s">
        <v>195</v>
      </c>
      <c r="CY7" s="26" t="s">
        <v>196</v>
      </c>
      <c r="CZ7" s="26">
        <v>0</v>
      </c>
      <c r="DB7" s="26">
        <v>0</v>
      </c>
      <c r="DK7" s="26" t="s">
        <v>150</v>
      </c>
      <c r="DL7" s="26" t="s">
        <v>198</v>
      </c>
      <c r="DM7" s="26" t="s">
        <v>238</v>
      </c>
      <c r="DN7" s="26" t="s">
        <v>310</v>
      </c>
      <c r="DO7" s="26" t="s">
        <v>240</v>
      </c>
      <c r="DP7" s="26" t="s">
        <v>311</v>
      </c>
      <c r="DR7" s="26" t="s">
        <v>189</v>
      </c>
      <c r="DS7" s="26" t="s">
        <v>189</v>
      </c>
      <c r="DT7" s="26" t="s">
        <v>189</v>
      </c>
      <c r="DU7" s="26" t="s">
        <v>189</v>
      </c>
      <c r="DV7" s="26" t="s">
        <v>203</v>
      </c>
      <c r="DW7" s="26" t="s">
        <v>162</v>
      </c>
      <c r="DX7" s="26" t="s">
        <v>162</v>
      </c>
      <c r="DY7" s="26">
        <v>0</v>
      </c>
      <c r="DZ7" s="26" t="s">
        <v>150</v>
      </c>
      <c r="EH7" s="26" t="s">
        <v>189</v>
      </c>
      <c r="EI7" s="26">
        <v>0.16</v>
      </c>
      <c r="EJ7" s="26">
        <v>38.1056</v>
      </c>
      <c r="EK7" s="26">
        <v>69.79</v>
      </c>
      <c r="EL7" s="26" t="s">
        <v>327</v>
      </c>
      <c r="EM7" s="26" t="s">
        <v>206</v>
      </c>
      <c r="EN7" s="26" t="s">
        <v>207</v>
      </c>
    </row>
    <row r="8" spans="1:144">
      <c r="A8" s="26" t="s">
        <v>145</v>
      </c>
      <c r="B8" s="26" t="s">
        <v>146</v>
      </c>
      <c r="C8" s="26" t="s">
        <v>282</v>
      </c>
      <c r="D8" s="26" t="s">
        <v>148</v>
      </c>
      <c r="E8" s="26" t="s">
        <v>149</v>
      </c>
      <c r="G8" s="26" t="s">
        <v>151</v>
      </c>
      <c r="H8" s="26" t="s">
        <v>152</v>
      </c>
      <c r="I8" s="26" t="s">
        <v>153</v>
      </c>
      <c r="J8" s="26" t="s">
        <v>154</v>
      </c>
      <c r="K8" s="26" t="s">
        <v>155</v>
      </c>
      <c r="L8" s="26" t="s">
        <v>313</v>
      </c>
      <c r="M8" s="26" t="s">
        <v>284</v>
      </c>
      <c r="O8" s="26" t="s">
        <v>328</v>
      </c>
      <c r="P8" s="26" t="s">
        <v>329</v>
      </c>
      <c r="S8" s="26" t="s">
        <v>330</v>
      </c>
      <c r="T8" s="26">
        <v>232.606254</v>
      </c>
      <c r="U8" s="26" t="s">
        <v>217</v>
      </c>
      <c r="V8" s="26" t="s">
        <v>150</v>
      </c>
      <c r="Y8" s="26" t="s">
        <v>290</v>
      </c>
      <c r="Z8" s="26">
        <v>34.11690705</v>
      </c>
      <c r="AA8" s="26">
        <v>0</v>
      </c>
      <c r="AB8" s="26">
        <v>0</v>
      </c>
      <c r="AC8" s="26">
        <v>47</v>
      </c>
      <c r="AD8" s="26" t="s">
        <v>331</v>
      </c>
      <c r="AE8" s="26" t="s">
        <v>331</v>
      </c>
      <c r="AF8" s="26" t="s">
        <v>331</v>
      </c>
      <c r="AG8" s="26" t="s">
        <v>318</v>
      </c>
      <c r="AI8" s="26" t="s">
        <v>167</v>
      </c>
      <c r="AJ8" s="26" t="s">
        <v>168</v>
      </c>
      <c r="AK8" s="26" t="s">
        <v>169</v>
      </c>
      <c r="AM8" s="26" t="s">
        <v>319</v>
      </c>
      <c r="AN8" s="26" t="s">
        <v>172</v>
      </c>
      <c r="AO8" s="26" t="s">
        <v>320</v>
      </c>
      <c r="AP8" s="26" t="s">
        <v>162</v>
      </c>
      <c r="AQ8" s="26" t="s">
        <v>296</v>
      </c>
      <c r="AR8" s="26" t="s">
        <v>297</v>
      </c>
      <c r="AS8" s="26" t="s">
        <v>298</v>
      </c>
      <c r="AU8" s="26" t="s">
        <v>299</v>
      </c>
      <c r="AV8" s="26" t="s">
        <v>299</v>
      </c>
      <c r="AX8" s="26" t="s">
        <v>322</v>
      </c>
      <c r="AY8" s="26" t="s">
        <v>179</v>
      </c>
      <c r="BC8" s="26" t="s">
        <v>282</v>
      </c>
      <c r="BD8" s="26" t="s">
        <v>180</v>
      </c>
      <c r="BE8" s="26" t="s">
        <v>181</v>
      </c>
      <c r="BF8" s="26" t="s">
        <v>167</v>
      </c>
      <c r="BH8" s="26" t="s">
        <v>162</v>
      </c>
      <c r="BI8" s="26" t="s">
        <v>182</v>
      </c>
      <c r="BJ8" s="26" t="s">
        <v>323</v>
      </c>
      <c r="BK8" s="26" t="s">
        <v>302</v>
      </c>
      <c r="BL8" s="26" t="s">
        <v>185</v>
      </c>
      <c r="BM8" s="26" t="s">
        <v>186</v>
      </c>
      <c r="BN8" s="26" t="s">
        <v>162</v>
      </c>
      <c r="BP8" s="26">
        <v>0</v>
      </c>
      <c r="BQ8" s="26" t="s">
        <v>324</v>
      </c>
      <c r="BS8" s="26" t="s">
        <v>230</v>
      </c>
      <c r="BT8" s="26" t="s">
        <v>185</v>
      </c>
      <c r="BV8" s="26">
        <v>38.1696</v>
      </c>
      <c r="BW8" s="26">
        <v>0.16</v>
      </c>
      <c r="BZ8" s="26">
        <v>0</v>
      </c>
      <c r="CA8" s="26" t="s">
        <v>189</v>
      </c>
      <c r="CC8" s="26" t="s">
        <v>162</v>
      </c>
      <c r="CD8" s="26">
        <v>0</v>
      </c>
      <c r="CE8" s="26" t="s">
        <v>190</v>
      </c>
      <c r="CF8" s="26" t="s">
        <v>167</v>
      </c>
      <c r="CG8" s="26" t="s">
        <v>332</v>
      </c>
      <c r="CI8" s="26" t="s">
        <v>191</v>
      </c>
      <c r="CJ8" s="26">
        <v>238.56</v>
      </c>
      <c r="CK8" s="26">
        <v>0</v>
      </c>
      <c r="CL8" s="26">
        <v>11.93</v>
      </c>
      <c r="CM8" s="26">
        <v>69.86</v>
      </c>
      <c r="CQ8" s="26" t="s">
        <v>233</v>
      </c>
      <c r="CR8" s="26" t="s">
        <v>307</v>
      </c>
      <c r="CS8" s="26" t="s">
        <v>308</v>
      </c>
      <c r="CW8" s="26" t="s">
        <v>326</v>
      </c>
      <c r="CX8" s="26" t="s">
        <v>195</v>
      </c>
      <c r="CY8" s="26" t="s">
        <v>196</v>
      </c>
      <c r="CZ8" s="26">
        <v>0</v>
      </c>
      <c r="DB8" s="26">
        <v>0</v>
      </c>
      <c r="DK8" s="26" t="s">
        <v>150</v>
      </c>
      <c r="DL8" s="26" t="s">
        <v>198</v>
      </c>
      <c r="DM8" s="26" t="s">
        <v>238</v>
      </c>
      <c r="DN8" s="26" t="s">
        <v>310</v>
      </c>
      <c r="DO8" s="26" t="s">
        <v>240</v>
      </c>
      <c r="DP8" s="26" t="s">
        <v>311</v>
      </c>
      <c r="DR8" s="26" t="s">
        <v>189</v>
      </c>
      <c r="DS8" s="26" t="s">
        <v>189</v>
      </c>
      <c r="DT8" s="26" t="s">
        <v>189</v>
      </c>
      <c r="DU8" s="26" t="s">
        <v>189</v>
      </c>
      <c r="DV8" s="26" t="s">
        <v>203</v>
      </c>
      <c r="DW8" s="26" t="s">
        <v>162</v>
      </c>
      <c r="DX8" s="26" t="s">
        <v>162</v>
      </c>
      <c r="DY8" s="26">
        <v>0</v>
      </c>
      <c r="DZ8" s="26" t="s">
        <v>150</v>
      </c>
      <c r="EH8" s="26" t="s">
        <v>189</v>
      </c>
      <c r="EI8" s="26">
        <v>0.16</v>
      </c>
      <c r="EJ8" s="26">
        <v>38.1696</v>
      </c>
      <c r="EK8" s="26">
        <v>69.86</v>
      </c>
      <c r="EL8" s="26" t="s">
        <v>333</v>
      </c>
      <c r="EM8" s="26" t="s">
        <v>206</v>
      </c>
      <c r="EN8" s="26" t="s">
        <v>207</v>
      </c>
    </row>
    <row r="9" spans="1:144">
      <c r="A9" s="26" t="s">
        <v>145</v>
      </c>
      <c r="B9" s="26" t="s">
        <v>146</v>
      </c>
      <c r="C9" s="26" t="s">
        <v>334</v>
      </c>
      <c r="D9" s="26" t="s">
        <v>148</v>
      </c>
      <c r="E9" s="26" t="s">
        <v>149</v>
      </c>
      <c r="G9" s="26" t="s">
        <v>151</v>
      </c>
      <c r="H9" s="26" t="s">
        <v>152</v>
      </c>
      <c r="I9" s="26" t="s">
        <v>153</v>
      </c>
      <c r="J9" s="26" t="s">
        <v>154</v>
      </c>
      <c r="K9" s="26" t="s">
        <v>209</v>
      </c>
      <c r="L9" s="26" t="s">
        <v>335</v>
      </c>
      <c r="M9" s="26" t="s">
        <v>336</v>
      </c>
      <c r="N9" s="26" t="s">
        <v>337</v>
      </c>
      <c r="O9" s="26" t="s">
        <v>338</v>
      </c>
      <c r="P9" s="26" t="s">
        <v>339</v>
      </c>
      <c r="Q9" s="26" t="s">
        <v>340</v>
      </c>
      <c r="R9" s="26">
        <v>150.439881</v>
      </c>
      <c r="S9" s="26" t="s">
        <v>341</v>
      </c>
      <c r="T9" s="26">
        <v>144.485796</v>
      </c>
      <c r="U9" s="26" t="s">
        <v>217</v>
      </c>
      <c r="V9" s="26" t="s">
        <v>150</v>
      </c>
      <c r="Y9" s="26" t="s">
        <v>342</v>
      </c>
      <c r="Z9" s="26">
        <v>22.56598215</v>
      </c>
      <c r="AA9" s="26">
        <v>0</v>
      </c>
      <c r="AB9" s="26">
        <v>0</v>
      </c>
      <c r="AC9" s="26">
        <v>20</v>
      </c>
      <c r="AD9" s="26" t="s">
        <v>343</v>
      </c>
      <c r="AE9" s="26" t="s">
        <v>343</v>
      </c>
      <c r="AF9" s="26" t="s">
        <v>343</v>
      </c>
      <c r="AG9" s="26" t="s">
        <v>344</v>
      </c>
      <c r="AI9" s="26" t="s">
        <v>167</v>
      </c>
      <c r="AJ9" s="26" t="s">
        <v>168</v>
      </c>
      <c r="AK9" s="26" t="s">
        <v>169</v>
      </c>
      <c r="AL9" s="26" t="s">
        <v>345</v>
      </c>
      <c r="AM9" s="26" t="s">
        <v>256</v>
      </c>
      <c r="AN9" s="26" t="s">
        <v>172</v>
      </c>
      <c r="AO9" s="26" t="s">
        <v>346</v>
      </c>
      <c r="AP9" s="26" t="s">
        <v>162</v>
      </c>
      <c r="AQ9" s="26" t="s">
        <v>347</v>
      </c>
      <c r="AR9" s="26" t="s">
        <v>348</v>
      </c>
      <c r="AS9" s="26" t="s">
        <v>349</v>
      </c>
      <c r="AU9" s="26" t="s">
        <v>350</v>
      </c>
      <c r="AV9" s="26" t="s">
        <v>350</v>
      </c>
      <c r="AX9" s="26" t="s">
        <v>351</v>
      </c>
      <c r="AY9" s="26" t="s">
        <v>179</v>
      </c>
      <c r="BC9" s="26" t="s">
        <v>334</v>
      </c>
      <c r="BD9" s="26" t="s">
        <v>180</v>
      </c>
      <c r="BE9" s="26" t="s">
        <v>181</v>
      </c>
      <c r="BF9" s="26" t="s">
        <v>167</v>
      </c>
      <c r="BH9" s="26" t="s">
        <v>162</v>
      </c>
      <c r="BI9" s="26" t="s">
        <v>182</v>
      </c>
      <c r="BJ9" s="26" t="s">
        <v>352</v>
      </c>
      <c r="BK9" s="26" t="s">
        <v>184</v>
      </c>
      <c r="BL9" s="26" t="s">
        <v>185</v>
      </c>
      <c r="BM9" s="26" t="s">
        <v>186</v>
      </c>
      <c r="BN9" s="26" t="s">
        <v>162</v>
      </c>
      <c r="BP9" s="26">
        <v>0</v>
      </c>
      <c r="BQ9" s="26" t="s">
        <v>353</v>
      </c>
      <c r="BS9" s="26" t="s">
        <v>354</v>
      </c>
      <c r="BT9" s="26" t="s">
        <v>185</v>
      </c>
      <c r="BV9" s="26">
        <v>21.0616</v>
      </c>
      <c r="BW9" s="26">
        <v>0.14</v>
      </c>
      <c r="BZ9" s="26">
        <v>0</v>
      </c>
      <c r="CA9" s="26" t="s">
        <v>189</v>
      </c>
      <c r="CC9" s="26" t="s">
        <v>162</v>
      </c>
      <c r="CD9" s="26">
        <v>0</v>
      </c>
      <c r="CE9" s="26" t="s">
        <v>190</v>
      </c>
      <c r="CF9" s="26" t="s">
        <v>167</v>
      </c>
      <c r="CG9" s="26" t="s">
        <v>355</v>
      </c>
      <c r="CI9" s="26" t="s">
        <v>232</v>
      </c>
      <c r="CJ9" s="26">
        <v>150.44</v>
      </c>
      <c r="CK9" s="26">
        <v>0</v>
      </c>
      <c r="CL9" s="26">
        <v>7.52</v>
      </c>
      <c r="CM9" s="26">
        <v>37.11</v>
      </c>
      <c r="CQ9" s="26" t="s">
        <v>192</v>
      </c>
      <c r="CR9" s="26" t="s">
        <v>356</v>
      </c>
      <c r="CS9" s="26" t="s">
        <v>357</v>
      </c>
      <c r="CW9" s="26" t="s">
        <v>358</v>
      </c>
      <c r="CX9" s="26" t="s">
        <v>162</v>
      </c>
      <c r="CY9" s="26" t="s">
        <v>196</v>
      </c>
      <c r="CZ9" s="26">
        <v>0</v>
      </c>
      <c r="DB9" s="26">
        <v>0</v>
      </c>
      <c r="DK9" s="26" t="s">
        <v>150</v>
      </c>
      <c r="DL9" s="26" t="s">
        <v>359</v>
      </c>
      <c r="DM9" s="26" t="s">
        <v>360</v>
      </c>
      <c r="DN9" s="26" t="s">
        <v>361</v>
      </c>
      <c r="DO9" s="26" t="s">
        <v>362</v>
      </c>
      <c r="DP9" s="26" t="s">
        <v>363</v>
      </c>
      <c r="DR9" s="26" t="s">
        <v>189</v>
      </c>
      <c r="DS9" s="26" t="s">
        <v>189</v>
      </c>
      <c r="DT9" s="26" t="s">
        <v>189</v>
      </c>
      <c r="DU9" s="26" t="s">
        <v>189</v>
      </c>
      <c r="DV9" s="26" t="s">
        <v>203</v>
      </c>
      <c r="DW9" s="26" t="s">
        <v>162</v>
      </c>
      <c r="DX9" s="26" t="s">
        <v>162</v>
      </c>
      <c r="DY9" s="26">
        <v>0</v>
      </c>
      <c r="DZ9" s="26" t="s">
        <v>150</v>
      </c>
      <c r="EH9" s="26" t="s">
        <v>189</v>
      </c>
      <c r="EI9" s="26">
        <v>0.14</v>
      </c>
      <c r="EJ9" s="26">
        <v>21.0616</v>
      </c>
      <c r="EK9" s="26">
        <v>37.11</v>
      </c>
      <c r="EL9" s="26" t="s">
        <v>364</v>
      </c>
      <c r="EM9" s="26" t="s">
        <v>206</v>
      </c>
      <c r="EN9" s="26" t="s">
        <v>207</v>
      </c>
    </row>
    <row r="10" spans="1:144">
      <c r="A10" s="26" t="s">
        <v>145</v>
      </c>
      <c r="B10" s="26" t="s">
        <v>146</v>
      </c>
      <c r="C10" s="26" t="s">
        <v>365</v>
      </c>
      <c r="D10" s="26" t="s">
        <v>148</v>
      </c>
      <c r="E10" s="26" t="s">
        <v>149</v>
      </c>
      <c r="G10" s="26" t="s">
        <v>151</v>
      </c>
      <c r="H10" s="26" t="s">
        <v>152</v>
      </c>
      <c r="I10" s="26" t="s">
        <v>153</v>
      </c>
      <c r="J10" s="26" t="s">
        <v>154</v>
      </c>
      <c r="K10" s="26" t="s">
        <v>244</v>
      </c>
      <c r="L10" s="26" t="s">
        <v>366</v>
      </c>
      <c r="M10" s="26" t="s">
        <v>367</v>
      </c>
      <c r="N10" s="26" t="s">
        <v>368</v>
      </c>
      <c r="O10" s="26" t="s">
        <v>369</v>
      </c>
      <c r="P10" s="26" t="s">
        <v>370</v>
      </c>
      <c r="Q10" s="26" t="s">
        <v>371</v>
      </c>
      <c r="R10" s="26">
        <v>329.45937</v>
      </c>
      <c r="S10" s="26" t="s">
        <v>372</v>
      </c>
      <c r="T10" s="26">
        <v>323.505285</v>
      </c>
      <c r="U10" s="26" t="s">
        <v>217</v>
      </c>
      <c r="V10" s="26" t="s">
        <v>150</v>
      </c>
      <c r="Y10" s="26" t="s">
        <v>373</v>
      </c>
      <c r="Z10" s="26">
        <v>49.4189055</v>
      </c>
      <c r="AA10" s="26">
        <v>0</v>
      </c>
      <c r="AB10" s="26">
        <v>0</v>
      </c>
      <c r="AC10" s="26">
        <v>77</v>
      </c>
      <c r="AD10" s="26" t="s">
        <v>374</v>
      </c>
      <c r="AE10" s="26" t="s">
        <v>374</v>
      </c>
      <c r="AF10" s="26" t="s">
        <v>374</v>
      </c>
      <c r="AG10" s="26" t="s">
        <v>375</v>
      </c>
      <c r="AI10" s="26" t="s">
        <v>167</v>
      </c>
      <c r="AJ10" s="26" t="s">
        <v>168</v>
      </c>
      <c r="AK10" s="26" t="s">
        <v>169</v>
      </c>
      <c r="AL10" s="26" t="s">
        <v>376</v>
      </c>
      <c r="AM10" s="26" t="s">
        <v>377</v>
      </c>
      <c r="AN10" s="26" t="s">
        <v>172</v>
      </c>
      <c r="AO10" s="26" t="s">
        <v>378</v>
      </c>
      <c r="AP10" s="26" t="s">
        <v>162</v>
      </c>
      <c r="AQ10" s="26" t="s">
        <v>379</v>
      </c>
      <c r="AR10" s="26" t="s">
        <v>380</v>
      </c>
      <c r="AS10" s="26" t="s">
        <v>381</v>
      </c>
      <c r="AU10" s="26" t="s">
        <v>382</v>
      </c>
      <c r="AV10" s="26" t="s">
        <v>382</v>
      </c>
      <c r="AX10" s="26" t="s">
        <v>383</v>
      </c>
      <c r="AY10" s="26" t="s">
        <v>179</v>
      </c>
      <c r="BC10" s="26" t="s">
        <v>365</v>
      </c>
      <c r="BD10" s="26" t="s">
        <v>180</v>
      </c>
      <c r="BE10" s="26" t="s">
        <v>181</v>
      </c>
      <c r="BF10" s="26" t="s">
        <v>167</v>
      </c>
      <c r="BH10" s="26" t="s">
        <v>162</v>
      </c>
      <c r="BI10" s="26" t="s">
        <v>182</v>
      </c>
      <c r="BJ10" s="26" t="s">
        <v>384</v>
      </c>
      <c r="BK10" s="26" t="s">
        <v>184</v>
      </c>
      <c r="BL10" s="26" t="s">
        <v>185</v>
      </c>
      <c r="BM10" s="26" t="s">
        <v>186</v>
      </c>
      <c r="BN10" s="26" t="s">
        <v>162</v>
      </c>
      <c r="BP10" s="26">
        <v>0</v>
      </c>
      <c r="BR10" s="26" t="s">
        <v>385</v>
      </c>
      <c r="BS10" s="26" t="s">
        <v>354</v>
      </c>
      <c r="BT10" s="26" t="s">
        <v>185</v>
      </c>
      <c r="BV10" s="26">
        <v>52.7136</v>
      </c>
      <c r="BW10" s="26">
        <v>0.16</v>
      </c>
      <c r="BZ10" s="26">
        <v>0</v>
      </c>
      <c r="CA10" s="26" t="s">
        <v>189</v>
      </c>
      <c r="CC10" s="26" t="s">
        <v>162</v>
      </c>
      <c r="CD10" s="26">
        <v>0</v>
      </c>
      <c r="CE10" s="26" t="s">
        <v>190</v>
      </c>
      <c r="CF10" s="26" t="s">
        <v>167</v>
      </c>
      <c r="CG10" s="26" t="s">
        <v>386</v>
      </c>
      <c r="CI10" s="26" t="s">
        <v>267</v>
      </c>
      <c r="CJ10" s="26">
        <v>329.46</v>
      </c>
      <c r="CK10" s="26">
        <v>0</v>
      </c>
      <c r="CL10" s="26">
        <v>16.47</v>
      </c>
      <c r="CM10" s="26">
        <v>83.4</v>
      </c>
      <c r="CQ10" s="26" t="s">
        <v>233</v>
      </c>
      <c r="CR10" s="26" t="s">
        <v>387</v>
      </c>
      <c r="CS10" s="26" t="s">
        <v>388</v>
      </c>
      <c r="CW10" s="26" t="s">
        <v>389</v>
      </c>
      <c r="CX10" s="26" t="s">
        <v>162</v>
      </c>
      <c r="CY10" s="26" t="s">
        <v>196</v>
      </c>
      <c r="CZ10" s="26">
        <v>0</v>
      </c>
      <c r="DB10" s="26">
        <v>0</v>
      </c>
      <c r="DK10" s="26" t="s">
        <v>150</v>
      </c>
      <c r="DL10" s="26" t="s">
        <v>390</v>
      </c>
      <c r="DM10" s="26" t="s">
        <v>391</v>
      </c>
      <c r="DN10" s="26" t="s">
        <v>392</v>
      </c>
      <c r="DO10" s="26" t="s">
        <v>362</v>
      </c>
      <c r="DP10" s="26" t="s">
        <v>393</v>
      </c>
      <c r="DR10" s="26" t="s">
        <v>189</v>
      </c>
      <c r="DS10" s="26" t="s">
        <v>189</v>
      </c>
      <c r="DT10" s="26" t="s">
        <v>189</v>
      </c>
      <c r="DU10" s="26" t="s">
        <v>189</v>
      </c>
      <c r="DV10" s="26" t="s">
        <v>203</v>
      </c>
      <c r="DW10" s="26" t="s">
        <v>162</v>
      </c>
      <c r="DX10" s="26" t="s">
        <v>162</v>
      </c>
      <c r="DY10" s="26">
        <v>0</v>
      </c>
      <c r="DZ10" s="26" t="s">
        <v>150</v>
      </c>
      <c r="EH10" s="26" t="s">
        <v>189</v>
      </c>
      <c r="EI10" s="26">
        <v>0.16</v>
      </c>
      <c r="EJ10" s="26">
        <v>52.7136</v>
      </c>
      <c r="EK10" s="26">
        <v>83.4</v>
      </c>
      <c r="EL10" s="26" t="s">
        <v>394</v>
      </c>
      <c r="EM10" s="26" t="s">
        <v>206</v>
      </c>
      <c r="EN10" s="26" t="s">
        <v>207</v>
      </c>
    </row>
    <row r="11" spans="1:144">
      <c r="A11" s="26" t="s">
        <v>145</v>
      </c>
      <c r="B11" s="26" t="s">
        <v>395</v>
      </c>
      <c r="C11" s="26" t="s">
        <v>396</v>
      </c>
      <c r="D11" s="26" t="s">
        <v>148</v>
      </c>
      <c r="E11" s="26" t="s">
        <v>149</v>
      </c>
      <c r="G11" s="26" t="s">
        <v>151</v>
      </c>
      <c r="H11" s="26" t="s">
        <v>152</v>
      </c>
      <c r="I11" s="26" t="s">
        <v>153</v>
      </c>
      <c r="J11" s="26" t="s">
        <v>154</v>
      </c>
      <c r="K11" s="26" t="s">
        <v>155</v>
      </c>
      <c r="L11" s="26" t="s">
        <v>313</v>
      </c>
      <c r="M11" s="26" t="s">
        <v>397</v>
      </c>
      <c r="N11" s="26" t="s">
        <v>398</v>
      </c>
      <c r="O11" s="26" t="s">
        <v>399</v>
      </c>
      <c r="P11" s="26" t="s">
        <v>400</v>
      </c>
      <c r="Q11" s="26" t="s">
        <v>401</v>
      </c>
      <c r="R11" s="26">
        <v>1228.636</v>
      </c>
      <c r="S11" s="26" t="s">
        <v>377</v>
      </c>
      <c r="T11" s="26">
        <v>181.596</v>
      </c>
      <c r="U11" s="26" t="s">
        <v>217</v>
      </c>
      <c r="V11" s="26" t="s">
        <v>150</v>
      </c>
      <c r="Y11" s="26" t="s">
        <v>402</v>
      </c>
      <c r="Z11" s="26">
        <v>30.7159</v>
      </c>
      <c r="AA11" s="26">
        <v>0</v>
      </c>
      <c r="AB11" s="26">
        <v>0</v>
      </c>
      <c r="AC11" s="26">
        <v>39</v>
      </c>
      <c r="AD11" s="26" t="s">
        <v>403</v>
      </c>
      <c r="AE11" s="26" t="s">
        <v>403</v>
      </c>
      <c r="AF11" s="26" t="s">
        <v>403</v>
      </c>
      <c r="AG11" s="26" t="s">
        <v>404</v>
      </c>
      <c r="AH11" s="26" t="s">
        <v>405</v>
      </c>
      <c r="AI11" s="26" t="s">
        <v>167</v>
      </c>
      <c r="AJ11" s="26" t="s">
        <v>168</v>
      </c>
      <c r="AK11" s="26" t="s">
        <v>169</v>
      </c>
      <c r="AL11" s="26" t="s">
        <v>406</v>
      </c>
      <c r="AM11" s="26" t="s">
        <v>407</v>
      </c>
      <c r="AN11" s="26" t="s">
        <v>172</v>
      </c>
      <c r="AO11" s="26" t="s">
        <v>408</v>
      </c>
      <c r="AP11" s="26" t="s">
        <v>167</v>
      </c>
      <c r="AQ11" s="26" t="s">
        <v>409</v>
      </c>
      <c r="AR11" s="26" t="s">
        <v>410</v>
      </c>
      <c r="AS11" s="26" t="s">
        <v>226</v>
      </c>
      <c r="AU11" s="26" t="s">
        <v>411</v>
      </c>
      <c r="AV11" s="26" t="s">
        <v>411</v>
      </c>
      <c r="AX11" s="26" t="s">
        <v>412</v>
      </c>
      <c r="AY11" s="26" t="s">
        <v>179</v>
      </c>
      <c r="BC11" s="26" t="s">
        <v>396</v>
      </c>
      <c r="BD11" s="26" t="s">
        <v>180</v>
      </c>
      <c r="BE11" s="26" t="s">
        <v>181</v>
      </c>
      <c r="BF11" s="26" t="s">
        <v>167</v>
      </c>
      <c r="BH11" s="26" t="s">
        <v>162</v>
      </c>
      <c r="BI11" s="26" t="s">
        <v>182</v>
      </c>
      <c r="BJ11" s="26" t="s">
        <v>413</v>
      </c>
      <c r="BK11" s="26" t="s">
        <v>414</v>
      </c>
      <c r="BL11" s="26" t="s">
        <v>185</v>
      </c>
      <c r="BM11" s="26" t="s">
        <v>186</v>
      </c>
      <c r="BN11" s="26" t="s">
        <v>162</v>
      </c>
      <c r="BP11" s="26">
        <v>0</v>
      </c>
      <c r="BS11" s="26" t="s">
        <v>230</v>
      </c>
      <c r="BT11" s="26" t="s">
        <v>185</v>
      </c>
      <c r="BV11" s="26">
        <v>30.0368</v>
      </c>
      <c r="BW11" s="26">
        <v>0.16</v>
      </c>
      <c r="BZ11" s="26">
        <v>0</v>
      </c>
      <c r="CA11" s="26" t="s">
        <v>189</v>
      </c>
      <c r="CC11" s="26" t="s">
        <v>162</v>
      </c>
      <c r="CD11" s="26">
        <v>0</v>
      </c>
      <c r="CE11" s="26" t="s">
        <v>190</v>
      </c>
      <c r="CF11" s="26" t="s">
        <v>415</v>
      </c>
      <c r="CG11" s="26" t="s">
        <v>416</v>
      </c>
      <c r="CI11" s="26" t="s">
        <v>191</v>
      </c>
      <c r="CJ11" s="26">
        <v>187.73</v>
      </c>
      <c r="CK11" s="26">
        <v>0</v>
      </c>
      <c r="CL11" s="26">
        <v>9.39</v>
      </c>
      <c r="CM11" s="26">
        <v>47.95</v>
      </c>
      <c r="CQ11" s="26" t="s">
        <v>233</v>
      </c>
      <c r="CR11" s="26" t="s">
        <v>417</v>
      </c>
      <c r="CS11" s="26" t="s">
        <v>418</v>
      </c>
      <c r="CW11" s="26" t="s">
        <v>419</v>
      </c>
      <c r="CX11" s="26" t="s">
        <v>162</v>
      </c>
      <c r="CY11" s="26" t="s">
        <v>196</v>
      </c>
      <c r="CZ11" s="26">
        <v>0</v>
      </c>
      <c r="DB11" s="26">
        <v>0</v>
      </c>
      <c r="DK11" s="26" t="s">
        <v>150</v>
      </c>
      <c r="DL11" s="26" t="s">
        <v>390</v>
      </c>
      <c r="DM11" s="26" t="s">
        <v>420</v>
      </c>
      <c r="DN11" s="26" t="s">
        <v>421</v>
      </c>
      <c r="DO11" s="26" t="s">
        <v>422</v>
      </c>
      <c r="DP11" s="26" t="s">
        <v>423</v>
      </c>
      <c r="DR11" s="26" t="s">
        <v>189</v>
      </c>
      <c r="DS11" s="26" t="s">
        <v>189</v>
      </c>
      <c r="DT11" s="26" t="s">
        <v>189</v>
      </c>
      <c r="DU11" s="26" t="s">
        <v>189</v>
      </c>
      <c r="DV11" s="26" t="s">
        <v>203</v>
      </c>
      <c r="DW11" s="26" t="s">
        <v>162</v>
      </c>
      <c r="DX11" s="26" t="s">
        <v>162</v>
      </c>
      <c r="DY11" s="26">
        <v>0</v>
      </c>
      <c r="DZ11" s="26" t="s">
        <v>150</v>
      </c>
      <c r="EH11" s="26" t="s">
        <v>189</v>
      </c>
      <c r="EI11" s="26">
        <v>0.16</v>
      </c>
      <c r="EJ11" s="26">
        <v>30.0368</v>
      </c>
      <c r="EK11" s="26">
        <v>47.95</v>
      </c>
      <c r="EL11" s="26" t="s">
        <v>424</v>
      </c>
      <c r="EM11" s="26" t="s">
        <v>206</v>
      </c>
      <c r="EN11" s="26" t="s">
        <v>207</v>
      </c>
    </row>
    <row r="12" spans="1:144">
      <c r="A12" s="26" t="s">
        <v>145</v>
      </c>
      <c r="B12" s="26" t="s">
        <v>395</v>
      </c>
      <c r="C12" s="26" t="s">
        <v>396</v>
      </c>
      <c r="D12" s="26" t="s">
        <v>148</v>
      </c>
      <c r="E12" s="26" t="s">
        <v>149</v>
      </c>
      <c r="G12" s="26" t="s">
        <v>151</v>
      </c>
      <c r="H12" s="26" t="s">
        <v>152</v>
      </c>
      <c r="I12" s="26" t="s">
        <v>153</v>
      </c>
      <c r="J12" s="26" t="s">
        <v>154</v>
      </c>
      <c r="K12" s="26" t="s">
        <v>244</v>
      </c>
      <c r="L12" s="26" t="s">
        <v>425</v>
      </c>
      <c r="M12" s="26" t="s">
        <v>397</v>
      </c>
      <c r="O12" s="26" t="s">
        <v>426</v>
      </c>
      <c r="P12" s="26" t="s">
        <v>427</v>
      </c>
      <c r="S12" s="26" t="s">
        <v>428</v>
      </c>
      <c r="T12" s="26">
        <v>214.316</v>
      </c>
      <c r="U12" s="26" t="s">
        <v>217</v>
      </c>
      <c r="V12" s="26" t="s">
        <v>150</v>
      </c>
      <c r="Y12" s="26" t="s">
        <v>402</v>
      </c>
      <c r="Z12" s="26">
        <v>30.7159</v>
      </c>
      <c r="AA12" s="26">
        <v>0</v>
      </c>
      <c r="AB12" s="26">
        <v>0</v>
      </c>
      <c r="AC12" s="26">
        <v>41</v>
      </c>
      <c r="AD12" s="26" t="s">
        <v>429</v>
      </c>
      <c r="AE12" s="26" t="s">
        <v>429</v>
      </c>
      <c r="AF12" s="26" t="s">
        <v>429</v>
      </c>
      <c r="AG12" s="26" t="s">
        <v>430</v>
      </c>
      <c r="AI12" s="26" t="s">
        <v>167</v>
      </c>
      <c r="AJ12" s="26" t="s">
        <v>168</v>
      </c>
      <c r="AK12" s="26" t="s">
        <v>169</v>
      </c>
      <c r="AM12" s="26" t="s">
        <v>431</v>
      </c>
      <c r="AN12" s="26" t="s">
        <v>172</v>
      </c>
      <c r="AO12" s="26" t="s">
        <v>432</v>
      </c>
      <c r="AP12" s="26" t="s">
        <v>167</v>
      </c>
      <c r="AQ12" s="26" t="s">
        <v>409</v>
      </c>
      <c r="AR12" s="26" t="s">
        <v>410</v>
      </c>
      <c r="AS12" s="26" t="s">
        <v>433</v>
      </c>
      <c r="AU12" s="26" t="s">
        <v>411</v>
      </c>
      <c r="AV12" s="26" t="s">
        <v>411</v>
      </c>
      <c r="AX12" s="26" t="s">
        <v>434</v>
      </c>
      <c r="AY12" s="26" t="s">
        <v>179</v>
      </c>
      <c r="BC12" s="26" t="s">
        <v>396</v>
      </c>
      <c r="BD12" s="26" t="s">
        <v>180</v>
      </c>
      <c r="BE12" s="26" t="s">
        <v>181</v>
      </c>
      <c r="BF12" s="26" t="s">
        <v>167</v>
      </c>
      <c r="BH12" s="26" t="s">
        <v>162</v>
      </c>
      <c r="BI12" s="26" t="s">
        <v>182</v>
      </c>
      <c r="BJ12" s="26" t="s">
        <v>376</v>
      </c>
      <c r="BK12" s="26" t="s">
        <v>414</v>
      </c>
      <c r="BL12" s="26" t="s">
        <v>185</v>
      </c>
      <c r="BM12" s="26" t="s">
        <v>186</v>
      </c>
      <c r="BN12" s="26" t="s">
        <v>162</v>
      </c>
      <c r="BP12" s="26">
        <v>0</v>
      </c>
      <c r="BQ12" s="26" t="s">
        <v>432</v>
      </c>
      <c r="BS12" s="26" t="s">
        <v>230</v>
      </c>
      <c r="BT12" s="26" t="s">
        <v>185</v>
      </c>
      <c r="BV12" s="26">
        <v>35.272</v>
      </c>
      <c r="BW12" s="26">
        <v>0.16</v>
      </c>
      <c r="BZ12" s="26">
        <v>0</v>
      </c>
      <c r="CA12" s="26" t="s">
        <v>189</v>
      </c>
      <c r="CC12" s="26" t="s">
        <v>162</v>
      </c>
      <c r="CD12" s="26">
        <v>0</v>
      </c>
      <c r="CE12" s="26" t="s">
        <v>190</v>
      </c>
      <c r="CF12" s="26" t="s">
        <v>435</v>
      </c>
      <c r="CG12" s="26" t="s">
        <v>436</v>
      </c>
      <c r="CI12" s="26" t="s">
        <v>267</v>
      </c>
      <c r="CJ12" s="26">
        <v>220.45</v>
      </c>
      <c r="CK12" s="26">
        <v>0</v>
      </c>
      <c r="CL12" s="26">
        <v>11.02</v>
      </c>
      <c r="CM12" s="26">
        <v>55.79</v>
      </c>
      <c r="CQ12" s="26" t="s">
        <v>437</v>
      </c>
      <c r="CR12" s="26" t="s">
        <v>417</v>
      </c>
      <c r="CS12" s="26" t="s">
        <v>418</v>
      </c>
      <c r="CW12" s="26" t="s">
        <v>438</v>
      </c>
      <c r="CX12" s="26" t="s">
        <v>167</v>
      </c>
      <c r="CY12" s="26" t="s">
        <v>196</v>
      </c>
      <c r="CZ12" s="26">
        <v>0</v>
      </c>
      <c r="DB12" s="26">
        <v>0</v>
      </c>
      <c r="DK12" s="26" t="s">
        <v>150</v>
      </c>
      <c r="DL12" s="26" t="s">
        <v>390</v>
      </c>
      <c r="DM12" s="26" t="s">
        <v>420</v>
      </c>
      <c r="DN12" s="26" t="s">
        <v>421</v>
      </c>
      <c r="DO12" s="26" t="s">
        <v>422</v>
      </c>
      <c r="DP12" s="26" t="s">
        <v>423</v>
      </c>
      <c r="DR12" s="26" t="s">
        <v>189</v>
      </c>
      <c r="DS12" s="26" t="s">
        <v>189</v>
      </c>
      <c r="DT12" s="26" t="s">
        <v>189</v>
      </c>
      <c r="DU12" s="26" t="s">
        <v>189</v>
      </c>
      <c r="DV12" s="26" t="s">
        <v>203</v>
      </c>
      <c r="DW12" s="26" t="s">
        <v>162</v>
      </c>
      <c r="DX12" s="26" t="s">
        <v>162</v>
      </c>
      <c r="DY12" s="26">
        <v>0</v>
      </c>
      <c r="DZ12" s="26" t="s">
        <v>150</v>
      </c>
      <c r="EH12" s="26" t="s">
        <v>189</v>
      </c>
      <c r="EI12" s="26">
        <v>0.16</v>
      </c>
      <c r="EJ12" s="26">
        <v>35.272</v>
      </c>
      <c r="EK12" s="26">
        <v>55.79</v>
      </c>
      <c r="EL12" s="26" t="s">
        <v>439</v>
      </c>
      <c r="EM12" s="26" t="s">
        <v>206</v>
      </c>
      <c r="EN12" s="26" t="s">
        <v>207</v>
      </c>
    </row>
    <row r="13" spans="1:144">
      <c r="A13" s="26" t="s">
        <v>145</v>
      </c>
      <c r="B13" s="26" t="s">
        <v>395</v>
      </c>
      <c r="C13" s="26" t="s">
        <v>396</v>
      </c>
      <c r="D13" s="26" t="s">
        <v>148</v>
      </c>
      <c r="E13" s="26" t="s">
        <v>149</v>
      </c>
      <c r="G13" s="26" t="s">
        <v>151</v>
      </c>
      <c r="H13" s="26" t="s">
        <v>152</v>
      </c>
      <c r="I13" s="26" t="s">
        <v>153</v>
      </c>
      <c r="J13" s="26" t="s">
        <v>154</v>
      </c>
      <c r="K13" s="26" t="s">
        <v>244</v>
      </c>
      <c r="L13" s="26" t="s">
        <v>425</v>
      </c>
      <c r="M13" s="26" t="s">
        <v>397</v>
      </c>
      <c r="O13" s="26" t="s">
        <v>440</v>
      </c>
      <c r="P13" s="26" t="s">
        <v>441</v>
      </c>
      <c r="S13" s="26" t="s">
        <v>442</v>
      </c>
      <c r="T13" s="26">
        <v>209.817</v>
      </c>
      <c r="U13" s="26" t="s">
        <v>217</v>
      </c>
      <c r="V13" s="26" t="s">
        <v>150</v>
      </c>
      <c r="Y13" s="26" t="s">
        <v>402</v>
      </c>
      <c r="Z13" s="26">
        <v>30.7159</v>
      </c>
      <c r="AA13" s="26">
        <v>0</v>
      </c>
      <c r="AB13" s="26">
        <v>0</v>
      </c>
      <c r="AC13" s="26">
        <v>41</v>
      </c>
      <c r="AD13" s="26" t="s">
        <v>429</v>
      </c>
      <c r="AE13" s="26" t="s">
        <v>429</v>
      </c>
      <c r="AF13" s="26" t="s">
        <v>429</v>
      </c>
      <c r="AG13" s="26" t="s">
        <v>443</v>
      </c>
      <c r="AI13" s="26" t="s">
        <v>167</v>
      </c>
      <c r="AJ13" s="26" t="s">
        <v>168</v>
      </c>
      <c r="AK13" s="26" t="s">
        <v>169</v>
      </c>
      <c r="AM13" s="26" t="s">
        <v>444</v>
      </c>
      <c r="AN13" s="26" t="s">
        <v>172</v>
      </c>
      <c r="AO13" s="26" t="s">
        <v>432</v>
      </c>
      <c r="AP13" s="26" t="s">
        <v>162</v>
      </c>
      <c r="AQ13" s="26" t="s">
        <v>409</v>
      </c>
      <c r="AR13" s="26" t="s">
        <v>410</v>
      </c>
      <c r="AS13" s="26" t="s">
        <v>433</v>
      </c>
      <c r="AU13" s="26" t="s">
        <v>411</v>
      </c>
      <c r="AV13" s="26" t="s">
        <v>411</v>
      </c>
      <c r="AX13" s="26" t="s">
        <v>445</v>
      </c>
      <c r="AY13" s="26" t="s">
        <v>179</v>
      </c>
      <c r="BC13" s="26" t="s">
        <v>396</v>
      </c>
      <c r="BD13" s="26" t="s">
        <v>180</v>
      </c>
      <c r="BE13" s="26" t="s">
        <v>181</v>
      </c>
      <c r="BF13" s="26" t="s">
        <v>167</v>
      </c>
      <c r="BH13" s="26" t="s">
        <v>162</v>
      </c>
      <c r="BI13" s="26" t="s">
        <v>182</v>
      </c>
      <c r="BJ13" s="26" t="s">
        <v>376</v>
      </c>
      <c r="BK13" s="26" t="s">
        <v>414</v>
      </c>
      <c r="BL13" s="26" t="s">
        <v>185</v>
      </c>
      <c r="BM13" s="26" t="s">
        <v>186</v>
      </c>
      <c r="BN13" s="26" t="s">
        <v>162</v>
      </c>
      <c r="BP13" s="26">
        <v>0</v>
      </c>
      <c r="BQ13" s="26" t="s">
        <v>432</v>
      </c>
      <c r="BS13" s="26" t="s">
        <v>230</v>
      </c>
      <c r="BT13" s="26" t="s">
        <v>185</v>
      </c>
      <c r="BV13" s="26">
        <v>34.552</v>
      </c>
      <c r="BW13" s="26">
        <v>0.16</v>
      </c>
      <c r="BZ13" s="26">
        <v>0</v>
      </c>
      <c r="CA13" s="26" t="s">
        <v>189</v>
      </c>
      <c r="CC13" s="26" t="s">
        <v>162</v>
      </c>
      <c r="CD13" s="26">
        <v>0</v>
      </c>
      <c r="CE13" s="26" t="s">
        <v>190</v>
      </c>
      <c r="CF13" s="26" t="s">
        <v>305</v>
      </c>
      <c r="CG13" s="26" t="s">
        <v>446</v>
      </c>
      <c r="CI13" s="26" t="s">
        <v>267</v>
      </c>
      <c r="CJ13" s="26">
        <v>215.95</v>
      </c>
      <c r="CK13" s="26">
        <v>0</v>
      </c>
      <c r="CL13" s="26">
        <v>10.8</v>
      </c>
      <c r="CM13" s="26">
        <v>51.08</v>
      </c>
      <c r="CQ13" s="26" t="s">
        <v>437</v>
      </c>
      <c r="CR13" s="26" t="s">
        <v>417</v>
      </c>
      <c r="CS13" s="26" t="s">
        <v>418</v>
      </c>
      <c r="CW13" s="26" t="s">
        <v>447</v>
      </c>
      <c r="CX13" s="26" t="s">
        <v>167</v>
      </c>
      <c r="CY13" s="26" t="s">
        <v>196</v>
      </c>
      <c r="CZ13" s="26">
        <v>0</v>
      </c>
      <c r="DB13" s="26">
        <v>0</v>
      </c>
      <c r="DK13" s="26" t="s">
        <v>150</v>
      </c>
      <c r="DL13" s="26" t="s">
        <v>390</v>
      </c>
      <c r="DM13" s="26" t="s">
        <v>420</v>
      </c>
      <c r="DN13" s="26" t="s">
        <v>421</v>
      </c>
      <c r="DO13" s="26" t="s">
        <v>422</v>
      </c>
      <c r="DP13" s="26" t="s">
        <v>423</v>
      </c>
      <c r="DR13" s="26" t="s">
        <v>189</v>
      </c>
      <c r="DS13" s="26" t="s">
        <v>189</v>
      </c>
      <c r="DT13" s="26" t="s">
        <v>189</v>
      </c>
      <c r="DU13" s="26" t="s">
        <v>189</v>
      </c>
      <c r="DV13" s="26" t="s">
        <v>203</v>
      </c>
      <c r="DW13" s="26" t="s">
        <v>162</v>
      </c>
      <c r="DX13" s="26" t="s">
        <v>162</v>
      </c>
      <c r="DY13" s="26">
        <v>0</v>
      </c>
      <c r="DZ13" s="26" t="s">
        <v>150</v>
      </c>
      <c r="EH13" s="26" t="s">
        <v>189</v>
      </c>
      <c r="EI13" s="26">
        <v>0.16</v>
      </c>
      <c r="EJ13" s="26">
        <v>34.552</v>
      </c>
      <c r="EK13" s="26">
        <v>51.08</v>
      </c>
      <c r="EL13" s="26" t="s">
        <v>448</v>
      </c>
      <c r="EM13" s="26" t="s">
        <v>206</v>
      </c>
      <c r="EN13" s="26" t="s">
        <v>207</v>
      </c>
    </row>
    <row r="14" spans="1:144">
      <c r="A14" s="26" t="s">
        <v>145</v>
      </c>
      <c r="B14" s="26" t="s">
        <v>395</v>
      </c>
      <c r="C14" s="26" t="s">
        <v>396</v>
      </c>
      <c r="D14" s="26" t="s">
        <v>148</v>
      </c>
      <c r="E14" s="26" t="s">
        <v>149</v>
      </c>
      <c r="G14" s="26" t="s">
        <v>151</v>
      </c>
      <c r="H14" s="26" t="s">
        <v>152</v>
      </c>
      <c r="I14" s="26" t="s">
        <v>153</v>
      </c>
      <c r="J14" s="26" t="s">
        <v>154</v>
      </c>
      <c r="K14" s="26" t="s">
        <v>155</v>
      </c>
      <c r="L14" s="26" t="s">
        <v>313</v>
      </c>
      <c r="M14" s="26" t="s">
        <v>397</v>
      </c>
      <c r="O14" s="26" t="s">
        <v>449</v>
      </c>
      <c r="P14" s="26" t="s">
        <v>450</v>
      </c>
      <c r="S14" s="26" t="s">
        <v>377</v>
      </c>
      <c r="T14" s="26">
        <v>181.596</v>
      </c>
      <c r="U14" s="26" t="s">
        <v>217</v>
      </c>
      <c r="V14" s="26" t="s">
        <v>150</v>
      </c>
      <c r="Y14" s="26" t="s">
        <v>402</v>
      </c>
      <c r="Z14" s="26">
        <v>30.7159</v>
      </c>
      <c r="AA14" s="26">
        <v>0</v>
      </c>
      <c r="AB14" s="26">
        <v>0</v>
      </c>
      <c r="AC14" s="26">
        <v>39</v>
      </c>
      <c r="AD14" s="26" t="s">
        <v>403</v>
      </c>
      <c r="AE14" s="26" t="s">
        <v>403</v>
      </c>
      <c r="AF14" s="26" t="s">
        <v>403</v>
      </c>
      <c r="AG14" s="26" t="s">
        <v>404</v>
      </c>
      <c r="AI14" s="26" t="s">
        <v>167</v>
      </c>
      <c r="AJ14" s="26" t="s">
        <v>168</v>
      </c>
      <c r="AK14" s="26" t="s">
        <v>169</v>
      </c>
      <c r="AM14" s="26" t="s">
        <v>407</v>
      </c>
      <c r="AN14" s="26" t="s">
        <v>172</v>
      </c>
      <c r="AO14" s="26" t="s">
        <v>408</v>
      </c>
      <c r="AP14" s="26" t="s">
        <v>167</v>
      </c>
      <c r="AQ14" s="26" t="s">
        <v>409</v>
      </c>
      <c r="AR14" s="26" t="s">
        <v>410</v>
      </c>
      <c r="AS14" s="26" t="s">
        <v>226</v>
      </c>
      <c r="AU14" s="26" t="s">
        <v>411</v>
      </c>
      <c r="AV14" s="26" t="s">
        <v>411</v>
      </c>
      <c r="AX14" s="26" t="s">
        <v>412</v>
      </c>
      <c r="AY14" s="26" t="s">
        <v>179</v>
      </c>
      <c r="BC14" s="26" t="s">
        <v>396</v>
      </c>
      <c r="BD14" s="26" t="s">
        <v>180</v>
      </c>
      <c r="BE14" s="26" t="s">
        <v>181</v>
      </c>
      <c r="BF14" s="26" t="s">
        <v>167</v>
      </c>
      <c r="BH14" s="26" t="s">
        <v>162</v>
      </c>
      <c r="BI14" s="26" t="s">
        <v>182</v>
      </c>
      <c r="BJ14" s="26" t="s">
        <v>413</v>
      </c>
      <c r="BK14" s="26" t="s">
        <v>414</v>
      </c>
      <c r="BL14" s="26" t="s">
        <v>185</v>
      </c>
      <c r="BM14" s="26" t="s">
        <v>186</v>
      </c>
      <c r="BN14" s="26" t="s">
        <v>162</v>
      </c>
      <c r="BP14" s="26">
        <v>0</v>
      </c>
      <c r="BS14" s="26" t="s">
        <v>230</v>
      </c>
      <c r="BT14" s="26" t="s">
        <v>185</v>
      </c>
      <c r="BV14" s="26">
        <v>30.0368</v>
      </c>
      <c r="BW14" s="26">
        <v>0.16</v>
      </c>
      <c r="BZ14" s="26">
        <v>0</v>
      </c>
      <c r="CA14" s="26" t="s">
        <v>189</v>
      </c>
      <c r="CC14" s="26" t="s">
        <v>162</v>
      </c>
      <c r="CD14" s="26">
        <v>0</v>
      </c>
      <c r="CE14" s="26" t="s">
        <v>190</v>
      </c>
      <c r="CF14" s="26" t="s">
        <v>195</v>
      </c>
      <c r="CG14" s="26" t="s">
        <v>416</v>
      </c>
      <c r="CI14" s="26" t="s">
        <v>191</v>
      </c>
      <c r="CJ14" s="26">
        <v>187.73</v>
      </c>
      <c r="CK14" s="26">
        <v>0</v>
      </c>
      <c r="CL14" s="26">
        <v>9.39</v>
      </c>
      <c r="CM14" s="26">
        <v>47.95</v>
      </c>
      <c r="CQ14" s="26" t="s">
        <v>233</v>
      </c>
      <c r="CR14" s="26" t="s">
        <v>417</v>
      </c>
      <c r="CS14" s="26" t="s">
        <v>418</v>
      </c>
      <c r="CW14" s="26" t="s">
        <v>419</v>
      </c>
      <c r="CX14" s="26" t="s">
        <v>162</v>
      </c>
      <c r="CY14" s="26" t="s">
        <v>196</v>
      </c>
      <c r="CZ14" s="26">
        <v>0</v>
      </c>
      <c r="DB14" s="26">
        <v>0</v>
      </c>
      <c r="DK14" s="26" t="s">
        <v>150</v>
      </c>
      <c r="DL14" s="26" t="s">
        <v>390</v>
      </c>
      <c r="DM14" s="26" t="s">
        <v>420</v>
      </c>
      <c r="DN14" s="26" t="s">
        <v>421</v>
      </c>
      <c r="DO14" s="26" t="s">
        <v>422</v>
      </c>
      <c r="DP14" s="26" t="s">
        <v>423</v>
      </c>
      <c r="DR14" s="26" t="s">
        <v>189</v>
      </c>
      <c r="DS14" s="26" t="s">
        <v>189</v>
      </c>
      <c r="DT14" s="26" t="s">
        <v>189</v>
      </c>
      <c r="DU14" s="26" t="s">
        <v>189</v>
      </c>
      <c r="DV14" s="26" t="s">
        <v>203</v>
      </c>
      <c r="DW14" s="26" t="s">
        <v>162</v>
      </c>
      <c r="DX14" s="26" t="s">
        <v>162</v>
      </c>
      <c r="DY14" s="26">
        <v>0</v>
      </c>
      <c r="DZ14" s="26" t="s">
        <v>150</v>
      </c>
      <c r="EH14" s="26" t="s">
        <v>189</v>
      </c>
      <c r="EI14" s="26">
        <v>0.16</v>
      </c>
      <c r="EJ14" s="26">
        <v>30.0368</v>
      </c>
      <c r="EK14" s="26">
        <v>47.95</v>
      </c>
      <c r="EL14" s="26" t="s">
        <v>451</v>
      </c>
      <c r="EM14" s="26" t="s">
        <v>206</v>
      </c>
      <c r="EN14" s="26" t="s">
        <v>207</v>
      </c>
    </row>
    <row r="15" spans="1:144">
      <c r="A15" s="26" t="s">
        <v>145</v>
      </c>
      <c r="B15" s="26" t="s">
        <v>395</v>
      </c>
      <c r="C15" s="26" t="s">
        <v>396</v>
      </c>
      <c r="D15" s="26" t="s">
        <v>148</v>
      </c>
      <c r="E15" s="26" t="s">
        <v>149</v>
      </c>
      <c r="G15" s="26" t="s">
        <v>151</v>
      </c>
      <c r="H15" s="26" t="s">
        <v>152</v>
      </c>
      <c r="I15" s="26" t="s">
        <v>153</v>
      </c>
      <c r="J15" s="26" t="s">
        <v>154</v>
      </c>
      <c r="K15" s="26" t="s">
        <v>155</v>
      </c>
      <c r="L15" s="26" t="s">
        <v>313</v>
      </c>
      <c r="M15" s="26" t="s">
        <v>397</v>
      </c>
      <c r="O15" s="26" t="s">
        <v>452</v>
      </c>
      <c r="P15" s="26" t="s">
        <v>453</v>
      </c>
      <c r="S15" s="26" t="s">
        <v>377</v>
      </c>
      <c r="T15" s="26">
        <v>181.596</v>
      </c>
      <c r="U15" s="26" t="s">
        <v>217</v>
      </c>
      <c r="V15" s="26" t="s">
        <v>150</v>
      </c>
      <c r="Y15" s="26" t="s">
        <v>402</v>
      </c>
      <c r="Z15" s="26">
        <v>30.7159</v>
      </c>
      <c r="AA15" s="26">
        <v>0</v>
      </c>
      <c r="AB15" s="26">
        <v>0</v>
      </c>
      <c r="AC15" s="26">
        <v>39</v>
      </c>
      <c r="AD15" s="26" t="s">
        <v>403</v>
      </c>
      <c r="AE15" s="26" t="s">
        <v>403</v>
      </c>
      <c r="AF15" s="26" t="s">
        <v>403</v>
      </c>
      <c r="AG15" s="26" t="s">
        <v>404</v>
      </c>
      <c r="AI15" s="26" t="s">
        <v>167</v>
      </c>
      <c r="AJ15" s="26" t="s">
        <v>168</v>
      </c>
      <c r="AK15" s="26" t="s">
        <v>169</v>
      </c>
      <c r="AM15" s="26" t="s">
        <v>407</v>
      </c>
      <c r="AN15" s="26" t="s">
        <v>172</v>
      </c>
      <c r="AO15" s="26" t="s">
        <v>408</v>
      </c>
      <c r="AP15" s="26" t="s">
        <v>167</v>
      </c>
      <c r="AQ15" s="26" t="s">
        <v>409</v>
      </c>
      <c r="AR15" s="26" t="s">
        <v>410</v>
      </c>
      <c r="AS15" s="26" t="s">
        <v>226</v>
      </c>
      <c r="AU15" s="26" t="s">
        <v>411</v>
      </c>
      <c r="AV15" s="26" t="s">
        <v>411</v>
      </c>
      <c r="AX15" s="26" t="s">
        <v>412</v>
      </c>
      <c r="AY15" s="26" t="s">
        <v>179</v>
      </c>
      <c r="BC15" s="26" t="s">
        <v>396</v>
      </c>
      <c r="BD15" s="26" t="s">
        <v>180</v>
      </c>
      <c r="BE15" s="26" t="s">
        <v>181</v>
      </c>
      <c r="BF15" s="26" t="s">
        <v>167</v>
      </c>
      <c r="BH15" s="26" t="s">
        <v>162</v>
      </c>
      <c r="BI15" s="26" t="s">
        <v>182</v>
      </c>
      <c r="BJ15" s="26" t="s">
        <v>413</v>
      </c>
      <c r="BK15" s="26" t="s">
        <v>414</v>
      </c>
      <c r="BL15" s="26" t="s">
        <v>185</v>
      </c>
      <c r="BM15" s="26" t="s">
        <v>186</v>
      </c>
      <c r="BN15" s="26" t="s">
        <v>162</v>
      </c>
      <c r="BP15" s="26">
        <v>0</v>
      </c>
      <c r="BS15" s="26" t="s">
        <v>230</v>
      </c>
      <c r="BT15" s="26" t="s">
        <v>185</v>
      </c>
      <c r="BV15" s="26">
        <v>30.0368</v>
      </c>
      <c r="BW15" s="26">
        <v>0.16</v>
      </c>
      <c r="BZ15" s="26">
        <v>0</v>
      </c>
      <c r="CA15" s="26" t="s">
        <v>189</v>
      </c>
      <c r="CC15" s="26" t="s">
        <v>162</v>
      </c>
      <c r="CD15" s="26">
        <v>0</v>
      </c>
      <c r="CE15" s="26" t="s">
        <v>190</v>
      </c>
      <c r="CF15" s="26" t="s">
        <v>167</v>
      </c>
      <c r="CG15" s="26" t="s">
        <v>416</v>
      </c>
      <c r="CI15" s="26" t="s">
        <v>191</v>
      </c>
      <c r="CJ15" s="26">
        <v>187.73</v>
      </c>
      <c r="CK15" s="26">
        <v>0</v>
      </c>
      <c r="CL15" s="26">
        <v>9.39</v>
      </c>
      <c r="CM15" s="26">
        <v>47.95</v>
      </c>
      <c r="CQ15" s="26" t="s">
        <v>233</v>
      </c>
      <c r="CR15" s="26" t="s">
        <v>417</v>
      </c>
      <c r="CS15" s="26" t="s">
        <v>418</v>
      </c>
      <c r="CW15" s="26" t="s">
        <v>419</v>
      </c>
      <c r="CX15" s="26" t="s">
        <v>162</v>
      </c>
      <c r="CY15" s="26" t="s">
        <v>196</v>
      </c>
      <c r="CZ15" s="26">
        <v>0</v>
      </c>
      <c r="DB15" s="26">
        <v>0</v>
      </c>
      <c r="DK15" s="26" t="s">
        <v>150</v>
      </c>
      <c r="DL15" s="26" t="s">
        <v>390</v>
      </c>
      <c r="DM15" s="26" t="s">
        <v>420</v>
      </c>
      <c r="DN15" s="26" t="s">
        <v>421</v>
      </c>
      <c r="DO15" s="26" t="s">
        <v>422</v>
      </c>
      <c r="DP15" s="26" t="s">
        <v>423</v>
      </c>
      <c r="DR15" s="26" t="s">
        <v>189</v>
      </c>
      <c r="DS15" s="26" t="s">
        <v>189</v>
      </c>
      <c r="DT15" s="26" t="s">
        <v>189</v>
      </c>
      <c r="DU15" s="26" t="s">
        <v>189</v>
      </c>
      <c r="DV15" s="26" t="s">
        <v>203</v>
      </c>
      <c r="DW15" s="26" t="s">
        <v>162</v>
      </c>
      <c r="DX15" s="26" t="s">
        <v>162</v>
      </c>
      <c r="DY15" s="26">
        <v>0</v>
      </c>
      <c r="DZ15" s="26" t="s">
        <v>150</v>
      </c>
      <c r="EH15" s="26" t="s">
        <v>189</v>
      </c>
      <c r="EI15" s="26">
        <v>0.16</v>
      </c>
      <c r="EJ15" s="26">
        <v>30.0368</v>
      </c>
      <c r="EK15" s="26">
        <v>47.95</v>
      </c>
      <c r="EL15" s="26" t="s">
        <v>454</v>
      </c>
      <c r="EM15" s="26" t="s">
        <v>206</v>
      </c>
      <c r="EN15" s="26" t="s">
        <v>207</v>
      </c>
    </row>
    <row r="16" spans="1:144">
      <c r="A16" s="26" t="s">
        <v>145</v>
      </c>
      <c r="B16" s="26" t="s">
        <v>395</v>
      </c>
      <c r="C16" s="26" t="s">
        <v>396</v>
      </c>
      <c r="D16" s="26" t="s">
        <v>148</v>
      </c>
      <c r="E16" s="26" t="s">
        <v>149</v>
      </c>
      <c r="G16" s="26" t="s">
        <v>151</v>
      </c>
      <c r="H16" s="26" t="s">
        <v>152</v>
      </c>
      <c r="I16" s="26" t="s">
        <v>153</v>
      </c>
      <c r="J16" s="26" t="s">
        <v>154</v>
      </c>
      <c r="K16" s="26" t="s">
        <v>155</v>
      </c>
      <c r="L16" s="26" t="s">
        <v>313</v>
      </c>
      <c r="M16" s="26" t="s">
        <v>397</v>
      </c>
      <c r="O16" s="26" t="s">
        <v>455</v>
      </c>
      <c r="P16" s="26" t="s">
        <v>456</v>
      </c>
      <c r="S16" s="26" t="s">
        <v>457</v>
      </c>
      <c r="T16" s="26">
        <v>222.905</v>
      </c>
      <c r="U16" s="26" t="s">
        <v>217</v>
      </c>
      <c r="V16" s="26" t="s">
        <v>150</v>
      </c>
      <c r="Y16" s="26" t="s">
        <v>402</v>
      </c>
      <c r="Z16" s="26">
        <v>30.7159</v>
      </c>
      <c r="AA16" s="26">
        <v>0</v>
      </c>
      <c r="AB16" s="26">
        <v>0</v>
      </c>
      <c r="AC16" s="26">
        <v>36</v>
      </c>
      <c r="AD16" s="26" t="s">
        <v>458</v>
      </c>
      <c r="AE16" s="26" t="s">
        <v>458</v>
      </c>
      <c r="AF16" s="26" t="s">
        <v>458</v>
      </c>
      <c r="AG16" s="26" t="s">
        <v>459</v>
      </c>
      <c r="AI16" s="26" t="s">
        <v>167</v>
      </c>
      <c r="AJ16" s="26" t="s">
        <v>168</v>
      </c>
      <c r="AK16" s="26" t="s">
        <v>169</v>
      </c>
      <c r="AM16" s="26" t="s">
        <v>460</v>
      </c>
      <c r="AN16" s="26" t="s">
        <v>172</v>
      </c>
      <c r="AO16" s="26" t="s">
        <v>461</v>
      </c>
      <c r="AP16" s="26" t="s">
        <v>162</v>
      </c>
      <c r="AQ16" s="26" t="s">
        <v>409</v>
      </c>
      <c r="AR16" s="26" t="s">
        <v>410</v>
      </c>
      <c r="AS16" s="26" t="s">
        <v>462</v>
      </c>
      <c r="AT16" s="26" t="s">
        <v>463</v>
      </c>
      <c r="AU16" s="26" t="s">
        <v>411</v>
      </c>
      <c r="AV16" s="26" t="s">
        <v>411</v>
      </c>
      <c r="AX16" s="26" t="s">
        <v>464</v>
      </c>
      <c r="AY16" s="26" t="s">
        <v>179</v>
      </c>
      <c r="BC16" s="26" t="s">
        <v>396</v>
      </c>
      <c r="BD16" s="26" t="s">
        <v>180</v>
      </c>
      <c r="BE16" s="26" t="s">
        <v>181</v>
      </c>
      <c r="BF16" s="26" t="s">
        <v>167</v>
      </c>
      <c r="BH16" s="26" t="s">
        <v>162</v>
      </c>
      <c r="BI16" s="26" t="s">
        <v>182</v>
      </c>
      <c r="BJ16" s="26" t="s">
        <v>465</v>
      </c>
      <c r="BK16" s="26" t="s">
        <v>414</v>
      </c>
      <c r="BL16" s="26" t="s">
        <v>185</v>
      </c>
      <c r="BM16" s="26" t="s">
        <v>186</v>
      </c>
      <c r="BN16" s="26" t="s">
        <v>162</v>
      </c>
      <c r="BP16" s="26">
        <v>0</v>
      </c>
      <c r="BQ16" s="26" t="s">
        <v>466</v>
      </c>
      <c r="BS16" s="26" t="s">
        <v>230</v>
      </c>
      <c r="BT16" s="26" t="s">
        <v>185</v>
      </c>
      <c r="BV16" s="26">
        <v>36.6464</v>
      </c>
      <c r="BW16" s="26">
        <v>0.16</v>
      </c>
      <c r="BZ16" s="26">
        <v>0</v>
      </c>
      <c r="CA16" s="26" t="s">
        <v>189</v>
      </c>
      <c r="CC16" s="26" t="s">
        <v>162</v>
      </c>
      <c r="CD16" s="26">
        <v>0</v>
      </c>
      <c r="CE16" s="26" t="s">
        <v>190</v>
      </c>
      <c r="CF16" s="26" t="s">
        <v>467</v>
      </c>
      <c r="CG16" s="26" t="s">
        <v>468</v>
      </c>
      <c r="CI16" s="26" t="s">
        <v>191</v>
      </c>
      <c r="CJ16" s="26">
        <v>229.04</v>
      </c>
      <c r="CK16" s="26">
        <v>0</v>
      </c>
      <c r="CL16" s="26">
        <v>11.45</v>
      </c>
      <c r="CM16" s="26">
        <v>59.8</v>
      </c>
      <c r="CQ16" s="26" t="s">
        <v>192</v>
      </c>
      <c r="CR16" s="26" t="s">
        <v>417</v>
      </c>
      <c r="CS16" s="26" t="s">
        <v>418</v>
      </c>
      <c r="CW16" s="26" t="s">
        <v>469</v>
      </c>
      <c r="CX16" s="26" t="s">
        <v>162</v>
      </c>
      <c r="CY16" s="26" t="s">
        <v>196</v>
      </c>
      <c r="CZ16" s="26">
        <v>0</v>
      </c>
      <c r="DB16" s="26">
        <v>0</v>
      </c>
      <c r="DK16" s="26" t="s">
        <v>150</v>
      </c>
      <c r="DL16" s="26" t="s">
        <v>390</v>
      </c>
      <c r="DM16" s="26" t="s">
        <v>420</v>
      </c>
      <c r="DN16" s="26" t="s">
        <v>421</v>
      </c>
      <c r="DO16" s="26" t="s">
        <v>422</v>
      </c>
      <c r="DP16" s="26" t="s">
        <v>423</v>
      </c>
      <c r="DR16" s="26" t="s">
        <v>189</v>
      </c>
      <c r="DS16" s="26" t="s">
        <v>189</v>
      </c>
      <c r="DT16" s="26" t="s">
        <v>189</v>
      </c>
      <c r="DU16" s="26" t="s">
        <v>189</v>
      </c>
      <c r="DV16" s="26" t="s">
        <v>203</v>
      </c>
      <c r="DW16" s="26" t="s">
        <v>162</v>
      </c>
      <c r="DX16" s="26" t="s">
        <v>162</v>
      </c>
      <c r="DY16" s="26">
        <v>0</v>
      </c>
      <c r="DZ16" s="26" t="s">
        <v>150</v>
      </c>
      <c r="EA16" s="26" t="s">
        <v>470</v>
      </c>
      <c r="EB16" s="26" t="s">
        <v>471</v>
      </c>
      <c r="EH16" s="26" t="s">
        <v>189</v>
      </c>
      <c r="EI16" s="26">
        <v>0.16</v>
      </c>
      <c r="EJ16" s="26">
        <v>36.6464</v>
      </c>
      <c r="EK16" s="26">
        <v>59.8</v>
      </c>
      <c r="EL16" s="26" t="s">
        <v>472</v>
      </c>
      <c r="EM16" s="26" t="s">
        <v>206</v>
      </c>
      <c r="EN16" s="26" t="s">
        <v>207</v>
      </c>
    </row>
    <row r="17" spans="1:144">
      <c r="A17" s="26" t="s">
        <v>145</v>
      </c>
      <c r="B17" s="26" t="s">
        <v>146</v>
      </c>
      <c r="C17" s="26" t="s">
        <v>473</v>
      </c>
      <c r="D17" s="26" t="s">
        <v>148</v>
      </c>
      <c r="E17" s="26" t="s">
        <v>149</v>
      </c>
      <c r="G17" s="26" t="s">
        <v>151</v>
      </c>
      <c r="H17" s="26" t="s">
        <v>152</v>
      </c>
      <c r="I17" s="26" t="s">
        <v>153</v>
      </c>
      <c r="J17" s="26" t="s">
        <v>154</v>
      </c>
      <c r="K17" s="26" t="s">
        <v>474</v>
      </c>
      <c r="L17" s="26" t="s">
        <v>475</v>
      </c>
      <c r="M17" s="26" t="s">
        <v>476</v>
      </c>
      <c r="N17" s="26" t="s">
        <v>477</v>
      </c>
      <c r="O17" s="26" t="s">
        <v>478</v>
      </c>
      <c r="P17" s="26" t="s">
        <v>479</v>
      </c>
      <c r="Q17" s="26" t="s">
        <v>480</v>
      </c>
      <c r="R17" s="26">
        <v>344.939991</v>
      </c>
      <c r="S17" s="26" t="s">
        <v>481</v>
      </c>
      <c r="T17" s="26">
        <v>154.80621</v>
      </c>
      <c r="U17" s="26" t="s">
        <v>217</v>
      </c>
      <c r="V17" s="26" t="s">
        <v>150</v>
      </c>
      <c r="Y17" s="26" t="s">
        <v>482</v>
      </c>
      <c r="Z17" s="26">
        <v>25.86851463</v>
      </c>
      <c r="AA17" s="26">
        <v>0</v>
      </c>
      <c r="AB17" s="26">
        <v>0</v>
      </c>
      <c r="AC17" s="26">
        <v>37</v>
      </c>
      <c r="AD17" s="26" t="s">
        <v>483</v>
      </c>
      <c r="AE17" s="26" t="s">
        <v>483</v>
      </c>
      <c r="AF17" s="26" t="s">
        <v>483</v>
      </c>
      <c r="AG17" s="26" t="s">
        <v>484</v>
      </c>
      <c r="AI17" s="26" t="s">
        <v>167</v>
      </c>
      <c r="AJ17" s="26" t="s">
        <v>168</v>
      </c>
      <c r="AK17" s="26" t="s">
        <v>169</v>
      </c>
      <c r="AL17" s="26" t="s">
        <v>485</v>
      </c>
      <c r="AM17" s="26" t="s">
        <v>486</v>
      </c>
      <c r="AN17" s="26" t="s">
        <v>172</v>
      </c>
      <c r="AO17" s="26" t="s">
        <v>487</v>
      </c>
      <c r="AP17" s="26" t="s">
        <v>162</v>
      </c>
      <c r="AQ17" s="26" t="s">
        <v>488</v>
      </c>
      <c r="AR17" s="26" t="s">
        <v>489</v>
      </c>
      <c r="AS17" s="26" t="s">
        <v>433</v>
      </c>
      <c r="AT17" s="26" t="s">
        <v>490</v>
      </c>
      <c r="AU17" s="26" t="s">
        <v>491</v>
      </c>
      <c r="AV17" s="26" t="s">
        <v>491</v>
      </c>
      <c r="AX17" s="26" t="s">
        <v>492</v>
      </c>
      <c r="AY17" s="26" t="s">
        <v>179</v>
      </c>
      <c r="BC17" s="26" t="s">
        <v>473</v>
      </c>
      <c r="BD17" s="26" t="s">
        <v>180</v>
      </c>
      <c r="BE17" s="26" t="s">
        <v>181</v>
      </c>
      <c r="BF17" s="26" t="s">
        <v>167</v>
      </c>
      <c r="BH17" s="26" t="s">
        <v>162</v>
      </c>
      <c r="BI17" s="26" t="s">
        <v>182</v>
      </c>
      <c r="BJ17" s="26" t="s">
        <v>493</v>
      </c>
      <c r="BK17" s="26" t="s">
        <v>264</v>
      </c>
      <c r="BL17" s="26" t="s">
        <v>185</v>
      </c>
      <c r="BM17" s="26" t="s">
        <v>186</v>
      </c>
      <c r="BN17" s="26" t="s">
        <v>162</v>
      </c>
      <c r="BP17" s="26">
        <v>0</v>
      </c>
      <c r="BQ17" s="26" t="s">
        <v>494</v>
      </c>
      <c r="BS17" s="26" t="s">
        <v>230</v>
      </c>
      <c r="BT17" s="26" t="s">
        <v>185</v>
      </c>
      <c r="BV17" s="26">
        <v>25.7216</v>
      </c>
      <c r="BW17" s="26">
        <v>0.16</v>
      </c>
      <c r="BZ17" s="26">
        <v>0</v>
      </c>
      <c r="CA17" s="26" t="s">
        <v>189</v>
      </c>
      <c r="CC17" s="26" t="s">
        <v>162</v>
      </c>
      <c r="CD17" s="26">
        <v>0</v>
      </c>
      <c r="CE17" s="26" t="s">
        <v>190</v>
      </c>
      <c r="CF17" s="26" t="s">
        <v>167</v>
      </c>
      <c r="CG17" s="26" t="s">
        <v>495</v>
      </c>
      <c r="CI17" s="26" t="s">
        <v>496</v>
      </c>
      <c r="CJ17" s="26">
        <v>160.76</v>
      </c>
      <c r="CK17" s="26">
        <v>0</v>
      </c>
      <c r="CL17" s="26">
        <v>8.04</v>
      </c>
      <c r="CM17" s="26">
        <v>37.96</v>
      </c>
      <c r="CQ17" s="26" t="s">
        <v>437</v>
      </c>
      <c r="CR17" s="26" t="s">
        <v>497</v>
      </c>
      <c r="CS17" s="26" t="s">
        <v>498</v>
      </c>
      <c r="CW17" s="26" t="s">
        <v>499</v>
      </c>
      <c r="CX17" s="26" t="s">
        <v>162</v>
      </c>
      <c r="CY17" s="26" t="s">
        <v>196</v>
      </c>
      <c r="CZ17" s="26">
        <v>0</v>
      </c>
      <c r="DB17" s="26">
        <v>0</v>
      </c>
      <c r="DK17" s="26" t="s">
        <v>150</v>
      </c>
      <c r="DL17" s="26" t="s">
        <v>390</v>
      </c>
      <c r="DM17" s="26" t="s">
        <v>500</v>
      </c>
      <c r="DN17" s="26" t="s">
        <v>501</v>
      </c>
      <c r="DO17" s="26" t="s">
        <v>502</v>
      </c>
      <c r="DP17" s="26" t="s">
        <v>503</v>
      </c>
      <c r="DR17" s="26" t="s">
        <v>189</v>
      </c>
      <c r="DS17" s="26" t="s">
        <v>189</v>
      </c>
      <c r="DT17" s="26" t="s">
        <v>189</v>
      </c>
      <c r="DU17" s="26" t="s">
        <v>189</v>
      </c>
      <c r="DV17" s="26" t="s">
        <v>203</v>
      </c>
      <c r="DW17" s="26" t="s">
        <v>162</v>
      </c>
      <c r="DX17" s="26" t="s">
        <v>162</v>
      </c>
      <c r="DY17" s="26">
        <v>0</v>
      </c>
      <c r="DZ17" s="26" t="s">
        <v>150</v>
      </c>
      <c r="EA17" s="26" t="s">
        <v>470</v>
      </c>
      <c r="EB17" s="26" t="s">
        <v>471</v>
      </c>
      <c r="EH17" s="26" t="s">
        <v>189</v>
      </c>
      <c r="EI17" s="26">
        <v>0.16</v>
      </c>
      <c r="EJ17" s="26">
        <v>25.7216</v>
      </c>
      <c r="EK17" s="26">
        <v>37.96</v>
      </c>
      <c r="EL17" s="26" t="s">
        <v>504</v>
      </c>
      <c r="EM17" s="26" t="s">
        <v>206</v>
      </c>
      <c r="EN17" s="26" t="s">
        <v>207</v>
      </c>
    </row>
    <row r="18" spans="1:144">
      <c r="A18" s="26" t="s">
        <v>145</v>
      </c>
      <c r="B18" s="26" t="s">
        <v>146</v>
      </c>
      <c r="C18" s="26" t="s">
        <v>473</v>
      </c>
      <c r="D18" s="26" t="s">
        <v>148</v>
      </c>
      <c r="E18" s="26" t="s">
        <v>149</v>
      </c>
      <c r="G18" s="26" t="s">
        <v>151</v>
      </c>
      <c r="H18" s="26" t="s">
        <v>152</v>
      </c>
      <c r="I18" s="26" t="s">
        <v>153</v>
      </c>
      <c r="J18" s="26" t="s">
        <v>154</v>
      </c>
      <c r="K18" s="26" t="s">
        <v>155</v>
      </c>
      <c r="L18" s="26" t="s">
        <v>313</v>
      </c>
      <c r="M18" s="26" t="s">
        <v>476</v>
      </c>
      <c r="O18" s="26" t="s">
        <v>505</v>
      </c>
      <c r="P18" s="26" t="s">
        <v>506</v>
      </c>
      <c r="S18" s="26" t="s">
        <v>507</v>
      </c>
      <c r="T18" s="26">
        <v>178.225611</v>
      </c>
      <c r="U18" s="26" t="s">
        <v>217</v>
      </c>
      <c r="V18" s="26" t="s">
        <v>150</v>
      </c>
      <c r="Y18" s="26" t="s">
        <v>482</v>
      </c>
      <c r="Z18" s="26">
        <v>25.86851463</v>
      </c>
      <c r="AA18" s="26">
        <v>0</v>
      </c>
      <c r="AB18" s="26">
        <v>0</v>
      </c>
      <c r="AC18" s="26">
        <v>56</v>
      </c>
      <c r="AD18" s="26" t="s">
        <v>508</v>
      </c>
      <c r="AE18" s="26" t="s">
        <v>508</v>
      </c>
      <c r="AF18" s="26" t="s">
        <v>508</v>
      </c>
      <c r="AG18" s="26" t="s">
        <v>509</v>
      </c>
      <c r="AI18" s="26" t="s">
        <v>167</v>
      </c>
      <c r="AJ18" s="26" t="s">
        <v>168</v>
      </c>
      <c r="AK18" s="26" t="s">
        <v>169</v>
      </c>
      <c r="AM18" s="26" t="s">
        <v>510</v>
      </c>
      <c r="AN18" s="26" t="s">
        <v>172</v>
      </c>
      <c r="AO18" s="26" t="s">
        <v>408</v>
      </c>
      <c r="AP18" s="26" t="s">
        <v>162</v>
      </c>
      <c r="AQ18" s="26" t="s">
        <v>488</v>
      </c>
      <c r="AR18" s="26" t="s">
        <v>489</v>
      </c>
      <c r="AS18" s="26" t="s">
        <v>433</v>
      </c>
      <c r="AU18" s="26" t="s">
        <v>491</v>
      </c>
      <c r="AV18" s="26" t="s">
        <v>491</v>
      </c>
      <c r="AX18" s="26" t="s">
        <v>511</v>
      </c>
      <c r="AY18" s="26" t="s">
        <v>179</v>
      </c>
      <c r="BC18" s="26" t="s">
        <v>473</v>
      </c>
      <c r="BD18" s="26" t="s">
        <v>180</v>
      </c>
      <c r="BE18" s="26" t="s">
        <v>181</v>
      </c>
      <c r="BF18" s="26" t="s">
        <v>167</v>
      </c>
      <c r="BH18" s="26" t="s">
        <v>162</v>
      </c>
      <c r="BI18" s="26" t="s">
        <v>182</v>
      </c>
      <c r="BJ18" s="26" t="s">
        <v>512</v>
      </c>
      <c r="BK18" s="26" t="s">
        <v>264</v>
      </c>
      <c r="BL18" s="26" t="s">
        <v>185</v>
      </c>
      <c r="BM18" s="26" t="s">
        <v>186</v>
      </c>
      <c r="BN18" s="26" t="s">
        <v>162</v>
      </c>
      <c r="BP18" s="26">
        <v>0</v>
      </c>
      <c r="BS18" s="26" t="s">
        <v>230</v>
      </c>
      <c r="BT18" s="26" t="s">
        <v>185</v>
      </c>
      <c r="BV18" s="26">
        <v>29.4688</v>
      </c>
      <c r="BW18" s="26">
        <v>0.16</v>
      </c>
      <c r="BZ18" s="26">
        <v>0</v>
      </c>
      <c r="CA18" s="26" t="s">
        <v>189</v>
      </c>
      <c r="CC18" s="26" t="s">
        <v>162</v>
      </c>
      <c r="CD18" s="26">
        <v>0</v>
      </c>
      <c r="CE18" s="26" t="s">
        <v>190</v>
      </c>
      <c r="CF18" s="26" t="s">
        <v>195</v>
      </c>
      <c r="CG18" s="26" t="s">
        <v>513</v>
      </c>
      <c r="CI18" s="26" t="s">
        <v>191</v>
      </c>
      <c r="CJ18" s="26">
        <v>184.18</v>
      </c>
      <c r="CK18" s="26">
        <v>0</v>
      </c>
      <c r="CL18" s="26">
        <v>9.21</v>
      </c>
      <c r="CM18" s="26">
        <v>30.83</v>
      </c>
      <c r="CQ18" s="26" t="s">
        <v>437</v>
      </c>
      <c r="CR18" s="26" t="s">
        <v>497</v>
      </c>
      <c r="CS18" s="26" t="s">
        <v>498</v>
      </c>
      <c r="CW18" s="26" t="s">
        <v>514</v>
      </c>
      <c r="CX18" s="26" t="s">
        <v>167</v>
      </c>
      <c r="CY18" s="26" t="s">
        <v>196</v>
      </c>
      <c r="CZ18" s="26">
        <v>0</v>
      </c>
      <c r="DB18" s="26">
        <v>0</v>
      </c>
      <c r="DK18" s="26" t="s">
        <v>150</v>
      </c>
      <c r="DL18" s="26" t="s">
        <v>390</v>
      </c>
      <c r="DM18" s="26" t="s">
        <v>500</v>
      </c>
      <c r="DN18" s="26" t="s">
        <v>501</v>
      </c>
      <c r="DO18" s="26" t="s">
        <v>502</v>
      </c>
      <c r="DP18" s="26" t="s">
        <v>503</v>
      </c>
      <c r="DR18" s="26" t="s">
        <v>189</v>
      </c>
      <c r="DS18" s="26" t="s">
        <v>189</v>
      </c>
      <c r="DT18" s="26" t="s">
        <v>189</v>
      </c>
      <c r="DU18" s="26" t="s">
        <v>189</v>
      </c>
      <c r="DV18" s="26" t="s">
        <v>203</v>
      </c>
      <c r="DW18" s="26" t="s">
        <v>162</v>
      </c>
      <c r="DX18" s="26" t="s">
        <v>162</v>
      </c>
      <c r="DY18" s="26">
        <v>0</v>
      </c>
      <c r="DZ18" s="26" t="s">
        <v>150</v>
      </c>
      <c r="EH18" s="26" t="s">
        <v>189</v>
      </c>
      <c r="EI18" s="26">
        <v>0.16</v>
      </c>
      <c r="EJ18" s="26">
        <v>29.4688</v>
      </c>
      <c r="EK18" s="26">
        <v>30.83</v>
      </c>
      <c r="EL18" s="26" t="s">
        <v>515</v>
      </c>
      <c r="EM18" s="26" t="s">
        <v>206</v>
      </c>
      <c r="EN18" s="26" t="s">
        <v>207</v>
      </c>
    </row>
    <row r="19" spans="1:144">
      <c r="A19" s="26" t="s">
        <v>145</v>
      </c>
      <c r="B19" s="26" t="s">
        <v>146</v>
      </c>
      <c r="C19" s="26" t="s">
        <v>516</v>
      </c>
      <c r="D19" s="26" t="s">
        <v>148</v>
      </c>
      <c r="E19" s="26" t="s">
        <v>149</v>
      </c>
      <c r="F19" s="26" t="s">
        <v>150</v>
      </c>
      <c r="G19" s="26" t="s">
        <v>151</v>
      </c>
      <c r="H19" s="26" t="s">
        <v>152</v>
      </c>
      <c r="I19" s="26" t="s">
        <v>153</v>
      </c>
      <c r="J19" s="26" t="s">
        <v>154</v>
      </c>
      <c r="K19" s="26" t="s">
        <v>474</v>
      </c>
      <c r="L19" s="26" t="s">
        <v>517</v>
      </c>
      <c r="M19" s="26" t="s">
        <v>518</v>
      </c>
      <c r="N19" s="26" t="s">
        <v>519</v>
      </c>
      <c r="O19" s="26" t="s">
        <v>520</v>
      </c>
      <c r="P19" s="26" t="s">
        <v>521</v>
      </c>
      <c r="Q19" s="26" t="s">
        <v>522</v>
      </c>
      <c r="R19" s="26">
        <v>370.741026</v>
      </c>
      <c r="S19" s="26" t="s">
        <v>523</v>
      </c>
      <c r="T19" s="26">
        <v>136.943955</v>
      </c>
      <c r="U19" s="26" t="s">
        <v>217</v>
      </c>
      <c r="V19" s="26" t="s">
        <v>150</v>
      </c>
      <c r="Y19" s="26" t="s">
        <v>524</v>
      </c>
      <c r="Z19" s="26">
        <v>27.80557695</v>
      </c>
      <c r="AA19" s="26">
        <v>0</v>
      </c>
      <c r="AB19" s="26">
        <v>0</v>
      </c>
      <c r="AC19" s="26">
        <v>29</v>
      </c>
      <c r="AD19" s="26" t="s">
        <v>525</v>
      </c>
      <c r="AE19" s="26" t="s">
        <v>526</v>
      </c>
      <c r="AF19" s="26" t="s">
        <v>526</v>
      </c>
      <c r="AG19" s="26" t="s">
        <v>527</v>
      </c>
      <c r="AI19" s="26" t="s">
        <v>167</v>
      </c>
      <c r="AJ19" s="26" t="s">
        <v>168</v>
      </c>
      <c r="AK19" s="26" t="s">
        <v>169</v>
      </c>
      <c r="AL19" s="26" t="s">
        <v>528</v>
      </c>
      <c r="AM19" s="26" t="s">
        <v>529</v>
      </c>
      <c r="AN19" s="26" t="s">
        <v>172</v>
      </c>
      <c r="AO19" s="26" t="s">
        <v>530</v>
      </c>
      <c r="AP19" s="26" t="s">
        <v>162</v>
      </c>
      <c r="AQ19" s="26" t="s">
        <v>531</v>
      </c>
      <c r="AR19" s="26" t="s">
        <v>532</v>
      </c>
      <c r="AS19" s="26" t="s">
        <v>533</v>
      </c>
      <c r="AT19" s="26" t="s">
        <v>534</v>
      </c>
      <c r="AU19" s="26" t="s">
        <v>535</v>
      </c>
      <c r="AV19" s="26" t="s">
        <v>535</v>
      </c>
      <c r="AX19" s="26" t="s">
        <v>536</v>
      </c>
      <c r="AY19" s="26" t="s">
        <v>179</v>
      </c>
      <c r="BC19" s="26" t="s">
        <v>516</v>
      </c>
      <c r="BD19" s="26" t="s">
        <v>180</v>
      </c>
      <c r="BE19" s="26" t="s">
        <v>181</v>
      </c>
      <c r="BF19" s="26" t="s">
        <v>167</v>
      </c>
      <c r="BH19" s="26" t="s">
        <v>162</v>
      </c>
      <c r="BI19" s="26" t="s">
        <v>182</v>
      </c>
      <c r="BJ19" s="26" t="s">
        <v>537</v>
      </c>
      <c r="BK19" s="26" t="s">
        <v>264</v>
      </c>
      <c r="BL19" s="26" t="s">
        <v>185</v>
      </c>
      <c r="BM19" s="26" t="s">
        <v>186</v>
      </c>
      <c r="BN19" s="26" t="s">
        <v>162</v>
      </c>
      <c r="BP19" s="26">
        <v>0</v>
      </c>
      <c r="BQ19" s="26" t="s">
        <v>223</v>
      </c>
      <c r="BS19" s="26" t="s">
        <v>230</v>
      </c>
      <c r="BT19" s="26" t="s">
        <v>185</v>
      </c>
      <c r="BV19" s="26">
        <v>22.864</v>
      </c>
      <c r="BW19" s="26">
        <v>0.16</v>
      </c>
      <c r="BZ19" s="26">
        <v>0</v>
      </c>
      <c r="CA19" s="26" t="s">
        <v>189</v>
      </c>
      <c r="CC19" s="26" t="s">
        <v>162</v>
      </c>
      <c r="CD19" s="26">
        <v>0</v>
      </c>
      <c r="CE19" s="26" t="s">
        <v>190</v>
      </c>
      <c r="CF19" s="26" t="s">
        <v>195</v>
      </c>
      <c r="CG19" s="26" t="s">
        <v>538</v>
      </c>
      <c r="CI19" s="26" t="s">
        <v>496</v>
      </c>
      <c r="CJ19" s="26">
        <v>142.9</v>
      </c>
      <c r="CK19" s="26">
        <v>0</v>
      </c>
      <c r="CL19" s="26">
        <v>7.15</v>
      </c>
      <c r="CM19" s="26">
        <v>34.07</v>
      </c>
      <c r="CQ19" s="26" t="s">
        <v>192</v>
      </c>
      <c r="CR19" s="26" t="s">
        <v>539</v>
      </c>
      <c r="CS19" s="26" t="s">
        <v>540</v>
      </c>
      <c r="CW19" s="26" t="s">
        <v>541</v>
      </c>
      <c r="CX19" s="26" t="s">
        <v>162</v>
      </c>
      <c r="CY19" s="26" t="s">
        <v>196</v>
      </c>
      <c r="CZ19" s="26">
        <v>0</v>
      </c>
      <c r="DA19" s="26" t="s">
        <v>150</v>
      </c>
      <c r="DB19" s="26">
        <v>0</v>
      </c>
      <c r="DK19" s="26" t="s">
        <v>150</v>
      </c>
      <c r="DL19" s="26" t="s">
        <v>542</v>
      </c>
      <c r="DM19" s="26" t="s">
        <v>543</v>
      </c>
      <c r="DN19" s="26" t="s">
        <v>544</v>
      </c>
      <c r="DO19" s="26" t="s">
        <v>545</v>
      </c>
      <c r="DP19" s="26" t="s">
        <v>546</v>
      </c>
      <c r="DR19" s="26" t="s">
        <v>189</v>
      </c>
      <c r="DS19" s="26" t="s">
        <v>189</v>
      </c>
      <c r="DT19" s="26" t="s">
        <v>189</v>
      </c>
      <c r="DU19" s="26" t="s">
        <v>189</v>
      </c>
      <c r="DV19" s="26" t="s">
        <v>203</v>
      </c>
      <c r="DW19" s="26" t="s">
        <v>162</v>
      </c>
      <c r="DX19" s="26" t="s">
        <v>162</v>
      </c>
      <c r="DY19" s="26">
        <v>0</v>
      </c>
      <c r="DZ19" s="26" t="s">
        <v>150</v>
      </c>
      <c r="EA19" s="26" t="s">
        <v>534</v>
      </c>
      <c r="EB19" s="26" t="s">
        <v>547</v>
      </c>
      <c r="EH19" s="26" t="s">
        <v>189</v>
      </c>
      <c r="EI19" s="26">
        <v>0.16</v>
      </c>
      <c r="EJ19" s="26">
        <v>22.864</v>
      </c>
      <c r="EK19" s="26">
        <v>34.07</v>
      </c>
      <c r="EL19" s="26" t="s">
        <v>548</v>
      </c>
      <c r="EM19" s="26" t="s">
        <v>206</v>
      </c>
      <c r="EN19" s="26" t="s">
        <v>207</v>
      </c>
    </row>
    <row r="20" spans="1:144">
      <c r="A20" s="26" t="s">
        <v>145</v>
      </c>
      <c r="B20" s="26" t="s">
        <v>146</v>
      </c>
      <c r="C20" s="26" t="s">
        <v>516</v>
      </c>
      <c r="D20" s="26" t="s">
        <v>148</v>
      </c>
      <c r="E20" s="26" t="s">
        <v>149</v>
      </c>
      <c r="F20" s="26" t="s">
        <v>150</v>
      </c>
      <c r="G20" s="26" t="s">
        <v>151</v>
      </c>
      <c r="H20" s="26" t="s">
        <v>152</v>
      </c>
      <c r="I20" s="26" t="s">
        <v>153</v>
      </c>
      <c r="J20" s="26" t="s">
        <v>154</v>
      </c>
      <c r="K20" s="26" t="s">
        <v>244</v>
      </c>
      <c r="L20" s="26" t="s">
        <v>549</v>
      </c>
      <c r="M20" s="26" t="s">
        <v>518</v>
      </c>
      <c r="O20" s="26" t="s">
        <v>550</v>
      </c>
      <c r="P20" s="26" t="s">
        <v>551</v>
      </c>
      <c r="S20" s="26" t="s">
        <v>552</v>
      </c>
      <c r="T20" s="26">
        <v>221.888901</v>
      </c>
      <c r="U20" s="26" t="s">
        <v>217</v>
      </c>
      <c r="V20" s="26" t="s">
        <v>150</v>
      </c>
      <c r="Y20" s="26" t="s">
        <v>524</v>
      </c>
      <c r="Z20" s="26">
        <v>27.80557695</v>
      </c>
      <c r="AA20" s="26">
        <v>0</v>
      </c>
      <c r="AB20" s="26">
        <v>0</v>
      </c>
      <c r="AC20" s="26">
        <v>40</v>
      </c>
      <c r="AD20" s="26" t="s">
        <v>553</v>
      </c>
      <c r="AE20" s="26" t="s">
        <v>553</v>
      </c>
      <c r="AF20" s="26" t="s">
        <v>553</v>
      </c>
      <c r="AG20" s="26" t="s">
        <v>554</v>
      </c>
      <c r="AI20" s="26" t="s">
        <v>167</v>
      </c>
      <c r="AJ20" s="26" t="s">
        <v>168</v>
      </c>
      <c r="AK20" s="26" t="s">
        <v>169</v>
      </c>
      <c r="AM20" s="26" t="s">
        <v>555</v>
      </c>
      <c r="AN20" s="26" t="s">
        <v>172</v>
      </c>
      <c r="AO20" s="26" t="s">
        <v>257</v>
      </c>
      <c r="AP20" s="26" t="s">
        <v>162</v>
      </c>
      <c r="AQ20" s="26" t="s">
        <v>531</v>
      </c>
      <c r="AR20" s="26" t="s">
        <v>532</v>
      </c>
      <c r="AS20" s="26" t="s">
        <v>175</v>
      </c>
      <c r="AU20" s="26" t="s">
        <v>535</v>
      </c>
      <c r="AV20" s="26" t="s">
        <v>535</v>
      </c>
      <c r="AX20" s="26" t="s">
        <v>556</v>
      </c>
      <c r="AY20" s="26" t="s">
        <v>179</v>
      </c>
      <c r="BC20" s="26" t="s">
        <v>516</v>
      </c>
      <c r="BD20" s="26" t="s">
        <v>180</v>
      </c>
      <c r="BE20" s="26" t="s">
        <v>181</v>
      </c>
      <c r="BF20" s="26" t="s">
        <v>167</v>
      </c>
      <c r="BH20" s="26" t="s">
        <v>162</v>
      </c>
      <c r="BI20" s="26" t="s">
        <v>182</v>
      </c>
      <c r="BJ20" s="26" t="s">
        <v>557</v>
      </c>
      <c r="BK20" s="26" t="s">
        <v>264</v>
      </c>
      <c r="BL20" s="26" t="s">
        <v>185</v>
      </c>
      <c r="BM20" s="26" t="s">
        <v>186</v>
      </c>
      <c r="BN20" s="26" t="s">
        <v>162</v>
      </c>
      <c r="BP20" s="26">
        <v>0</v>
      </c>
      <c r="BQ20" s="26" t="s">
        <v>265</v>
      </c>
      <c r="BS20" s="26" t="s">
        <v>188</v>
      </c>
      <c r="BT20" s="26" t="s">
        <v>185</v>
      </c>
      <c r="BV20" s="26">
        <v>36.4544</v>
      </c>
      <c r="BW20" s="26">
        <v>0.16</v>
      </c>
      <c r="BZ20" s="26">
        <v>0</v>
      </c>
      <c r="CA20" s="26" t="s">
        <v>189</v>
      </c>
      <c r="CC20" s="26" t="s">
        <v>162</v>
      </c>
      <c r="CD20" s="26">
        <v>0</v>
      </c>
      <c r="CE20" s="26" t="s">
        <v>190</v>
      </c>
      <c r="CF20" s="26" t="s">
        <v>167</v>
      </c>
      <c r="CG20" s="26" t="s">
        <v>558</v>
      </c>
      <c r="CI20" s="26" t="s">
        <v>267</v>
      </c>
      <c r="CJ20" s="26">
        <v>227.84</v>
      </c>
      <c r="CK20" s="26">
        <v>0</v>
      </c>
      <c r="CL20" s="26">
        <v>11.39</v>
      </c>
      <c r="CM20" s="26">
        <v>60.71</v>
      </c>
      <c r="CQ20" s="26" t="s">
        <v>192</v>
      </c>
      <c r="CR20" s="26" t="s">
        <v>539</v>
      </c>
      <c r="CS20" s="26" t="s">
        <v>540</v>
      </c>
      <c r="CW20" s="26" t="s">
        <v>559</v>
      </c>
      <c r="CX20" s="26" t="s">
        <v>162</v>
      </c>
      <c r="CY20" s="26" t="s">
        <v>196</v>
      </c>
      <c r="CZ20" s="26">
        <v>0</v>
      </c>
      <c r="DA20" s="26" t="s">
        <v>150</v>
      </c>
      <c r="DB20" s="26">
        <v>0</v>
      </c>
      <c r="DK20" s="26" t="s">
        <v>150</v>
      </c>
      <c r="DL20" s="26" t="s">
        <v>542</v>
      </c>
      <c r="DM20" s="26" t="s">
        <v>543</v>
      </c>
      <c r="DN20" s="26" t="s">
        <v>544</v>
      </c>
      <c r="DO20" s="26" t="s">
        <v>545</v>
      </c>
      <c r="DP20" s="26" t="s">
        <v>546</v>
      </c>
      <c r="DR20" s="26" t="s">
        <v>189</v>
      </c>
      <c r="DS20" s="26" t="s">
        <v>189</v>
      </c>
      <c r="DT20" s="26" t="s">
        <v>189</v>
      </c>
      <c r="DU20" s="26" t="s">
        <v>189</v>
      </c>
      <c r="DV20" s="26" t="s">
        <v>203</v>
      </c>
      <c r="DW20" s="26" t="s">
        <v>162</v>
      </c>
      <c r="DX20" s="26" t="s">
        <v>162</v>
      </c>
      <c r="DY20" s="26">
        <v>0</v>
      </c>
      <c r="DZ20" s="26" t="s">
        <v>150</v>
      </c>
      <c r="EH20" s="26" t="s">
        <v>189</v>
      </c>
      <c r="EI20" s="26">
        <v>0.16</v>
      </c>
      <c r="EJ20" s="26">
        <v>36.4544</v>
      </c>
      <c r="EK20" s="26">
        <v>60.71</v>
      </c>
      <c r="EL20" s="26" t="s">
        <v>560</v>
      </c>
      <c r="EM20" s="26" t="s">
        <v>206</v>
      </c>
      <c r="EN20" s="26" t="s">
        <v>207</v>
      </c>
    </row>
    <row r="21" spans="1:144">
      <c r="A21" s="26" t="s">
        <v>145</v>
      </c>
      <c r="B21" s="26" t="s">
        <v>146</v>
      </c>
      <c r="C21" s="26" t="s">
        <v>561</v>
      </c>
      <c r="D21" s="26" t="s">
        <v>148</v>
      </c>
      <c r="E21" s="26" t="s">
        <v>149</v>
      </c>
      <c r="G21" s="26" t="s">
        <v>151</v>
      </c>
      <c r="H21" s="26" t="s">
        <v>152</v>
      </c>
      <c r="I21" s="26" t="s">
        <v>153</v>
      </c>
      <c r="J21" s="26" t="s">
        <v>154</v>
      </c>
      <c r="K21" s="26" t="s">
        <v>155</v>
      </c>
      <c r="L21" s="26" t="s">
        <v>313</v>
      </c>
      <c r="M21" s="26" t="s">
        <v>562</v>
      </c>
      <c r="N21" s="26" t="s">
        <v>563</v>
      </c>
      <c r="O21" s="26" t="s">
        <v>564</v>
      </c>
      <c r="P21" s="26" t="s">
        <v>565</v>
      </c>
      <c r="Q21" s="26" t="s">
        <v>345</v>
      </c>
      <c r="R21" s="26">
        <v>133.371504</v>
      </c>
      <c r="S21" s="26" t="s">
        <v>566</v>
      </c>
      <c r="T21" s="26">
        <v>127.417419</v>
      </c>
      <c r="U21" s="26" t="s">
        <v>217</v>
      </c>
      <c r="V21" s="26" t="s">
        <v>150</v>
      </c>
      <c r="Y21" s="26" t="s">
        <v>567</v>
      </c>
      <c r="Z21" s="26">
        <v>20.0057256</v>
      </c>
      <c r="AA21" s="26">
        <v>0</v>
      </c>
      <c r="AB21" s="26">
        <v>0</v>
      </c>
      <c r="AC21" s="26">
        <v>15.5</v>
      </c>
      <c r="AD21" s="26" t="s">
        <v>568</v>
      </c>
      <c r="AE21" s="26" t="s">
        <v>568</v>
      </c>
      <c r="AF21" s="26" t="s">
        <v>568</v>
      </c>
      <c r="AG21" s="26" t="s">
        <v>569</v>
      </c>
      <c r="AI21" s="26" t="s">
        <v>167</v>
      </c>
      <c r="AJ21" s="26" t="s">
        <v>168</v>
      </c>
      <c r="AK21" s="26" t="s">
        <v>169</v>
      </c>
      <c r="AL21" s="26" t="s">
        <v>407</v>
      </c>
      <c r="AM21" s="26" t="s">
        <v>570</v>
      </c>
      <c r="AN21" s="26" t="s">
        <v>172</v>
      </c>
      <c r="AO21" s="26" t="s">
        <v>571</v>
      </c>
      <c r="AP21" s="26" t="s">
        <v>162</v>
      </c>
      <c r="AQ21" s="26" t="s">
        <v>572</v>
      </c>
      <c r="AR21" s="26" t="s">
        <v>573</v>
      </c>
      <c r="AS21" s="26" t="s">
        <v>433</v>
      </c>
      <c r="AU21" s="26" t="s">
        <v>574</v>
      </c>
      <c r="AV21" s="26" t="s">
        <v>574</v>
      </c>
      <c r="AX21" s="26" t="s">
        <v>575</v>
      </c>
      <c r="AY21" s="26" t="s">
        <v>179</v>
      </c>
      <c r="BC21" s="26" t="s">
        <v>561</v>
      </c>
      <c r="BD21" s="26" t="s">
        <v>180</v>
      </c>
      <c r="BE21" s="26" t="s">
        <v>181</v>
      </c>
      <c r="BF21" s="26" t="s">
        <v>167</v>
      </c>
      <c r="BH21" s="26" t="s">
        <v>162</v>
      </c>
      <c r="BI21" s="26" t="s">
        <v>182</v>
      </c>
      <c r="BJ21" s="26" t="s">
        <v>576</v>
      </c>
      <c r="BK21" s="26" t="s">
        <v>184</v>
      </c>
      <c r="BL21" s="26" t="s">
        <v>185</v>
      </c>
      <c r="BM21" s="26" t="s">
        <v>186</v>
      </c>
      <c r="BN21" s="26" t="s">
        <v>162</v>
      </c>
      <c r="BP21" s="26">
        <v>0</v>
      </c>
      <c r="BQ21" s="26" t="s">
        <v>466</v>
      </c>
      <c r="BS21" s="26" t="s">
        <v>230</v>
      </c>
      <c r="BT21" s="26" t="s">
        <v>185</v>
      </c>
      <c r="BV21" s="26">
        <v>21.3392</v>
      </c>
      <c r="BW21" s="26">
        <v>0.16</v>
      </c>
      <c r="BZ21" s="26">
        <v>0</v>
      </c>
      <c r="CA21" s="26" t="s">
        <v>189</v>
      </c>
      <c r="CC21" s="26" t="s">
        <v>162</v>
      </c>
      <c r="CD21" s="26">
        <v>0</v>
      </c>
      <c r="CE21" s="26" t="s">
        <v>190</v>
      </c>
      <c r="CF21" s="26" t="s">
        <v>167</v>
      </c>
      <c r="CG21" s="26" t="s">
        <v>577</v>
      </c>
      <c r="CI21" s="26" t="s">
        <v>191</v>
      </c>
      <c r="CJ21" s="26">
        <v>133.37</v>
      </c>
      <c r="CK21" s="26">
        <v>0</v>
      </c>
      <c r="CL21" s="26">
        <v>6.67</v>
      </c>
      <c r="CM21" s="26">
        <v>28.78</v>
      </c>
      <c r="CQ21" s="26" t="s">
        <v>437</v>
      </c>
      <c r="CR21" s="26" t="s">
        <v>578</v>
      </c>
      <c r="CS21" s="26" t="s">
        <v>579</v>
      </c>
      <c r="CW21" s="26" t="s">
        <v>580</v>
      </c>
      <c r="CX21" s="26" t="s">
        <v>162</v>
      </c>
      <c r="CY21" s="26" t="s">
        <v>196</v>
      </c>
      <c r="CZ21" s="26">
        <v>0</v>
      </c>
      <c r="DB21" s="26">
        <v>0</v>
      </c>
      <c r="DK21" s="26" t="s">
        <v>150</v>
      </c>
      <c r="DL21" s="26" t="s">
        <v>581</v>
      </c>
      <c r="DM21" s="26" t="s">
        <v>582</v>
      </c>
      <c r="DN21" s="26" t="s">
        <v>583</v>
      </c>
      <c r="DO21" s="26" t="s">
        <v>584</v>
      </c>
      <c r="DP21" s="26" t="s">
        <v>585</v>
      </c>
      <c r="DR21" s="26" t="s">
        <v>189</v>
      </c>
      <c r="DS21" s="26" t="s">
        <v>189</v>
      </c>
      <c r="DT21" s="26" t="s">
        <v>189</v>
      </c>
      <c r="DU21" s="26" t="s">
        <v>189</v>
      </c>
      <c r="DV21" s="26" t="s">
        <v>203</v>
      </c>
      <c r="DW21" s="26" t="s">
        <v>162</v>
      </c>
      <c r="DX21" s="26" t="s">
        <v>162</v>
      </c>
      <c r="DY21" s="26">
        <v>0</v>
      </c>
      <c r="DZ21" s="26" t="s">
        <v>150</v>
      </c>
      <c r="EH21" s="26" t="s">
        <v>189</v>
      </c>
      <c r="EI21" s="26">
        <v>0.16</v>
      </c>
      <c r="EJ21" s="26">
        <v>21.3392</v>
      </c>
      <c r="EK21" s="26">
        <v>28.78</v>
      </c>
      <c r="EL21" s="26" t="s">
        <v>586</v>
      </c>
      <c r="EM21" s="26" t="s">
        <v>206</v>
      </c>
      <c r="EN21" s="26" t="s">
        <v>207</v>
      </c>
    </row>
    <row r="22" spans="1:144">
      <c r="A22" s="26" t="s">
        <v>145</v>
      </c>
      <c r="B22" s="26" t="s">
        <v>395</v>
      </c>
      <c r="C22" s="26" t="s">
        <v>587</v>
      </c>
      <c r="D22" s="26" t="s">
        <v>148</v>
      </c>
      <c r="E22" s="26" t="s">
        <v>149</v>
      </c>
      <c r="G22" s="26" t="s">
        <v>151</v>
      </c>
      <c r="H22" s="26" t="s">
        <v>152</v>
      </c>
      <c r="I22" s="26" t="s">
        <v>153</v>
      </c>
      <c r="J22" s="26" t="s">
        <v>154</v>
      </c>
      <c r="K22" s="26" t="s">
        <v>244</v>
      </c>
      <c r="L22" s="26" t="s">
        <v>245</v>
      </c>
      <c r="M22" s="26" t="s">
        <v>588</v>
      </c>
      <c r="N22" s="26" t="s">
        <v>589</v>
      </c>
      <c r="O22" s="26" t="s">
        <v>590</v>
      </c>
      <c r="P22" s="26" t="s">
        <v>591</v>
      </c>
      <c r="Q22" s="26" t="s">
        <v>592</v>
      </c>
      <c r="R22" s="26">
        <v>308.386</v>
      </c>
      <c r="S22" s="26" t="s">
        <v>170</v>
      </c>
      <c r="T22" s="26">
        <v>148.058</v>
      </c>
      <c r="U22" s="26" t="s">
        <v>217</v>
      </c>
      <c r="V22" s="26" t="s">
        <v>150</v>
      </c>
      <c r="Y22" s="26" t="s">
        <v>593</v>
      </c>
      <c r="Z22" s="26">
        <v>23.12895</v>
      </c>
      <c r="AA22" s="26">
        <v>0</v>
      </c>
      <c r="AB22" s="26">
        <v>0</v>
      </c>
      <c r="AC22" s="26">
        <v>22</v>
      </c>
      <c r="AD22" s="26" t="s">
        <v>594</v>
      </c>
      <c r="AE22" s="26" t="s">
        <v>594</v>
      </c>
      <c r="AF22" s="26" t="s">
        <v>594</v>
      </c>
      <c r="AG22" s="26" t="s">
        <v>595</v>
      </c>
      <c r="AI22" s="26" t="s">
        <v>167</v>
      </c>
      <c r="AJ22" s="26" t="s">
        <v>168</v>
      </c>
      <c r="AK22" s="26" t="s">
        <v>169</v>
      </c>
      <c r="AL22" s="26" t="s">
        <v>596</v>
      </c>
      <c r="AM22" s="26" t="s">
        <v>597</v>
      </c>
      <c r="AN22" s="26" t="s">
        <v>172</v>
      </c>
      <c r="AO22" s="26" t="s">
        <v>432</v>
      </c>
      <c r="AP22" s="26" t="s">
        <v>162</v>
      </c>
      <c r="AQ22" s="26" t="s">
        <v>598</v>
      </c>
      <c r="AR22" s="26" t="s">
        <v>599</v>
      </c>
      <c r="AS22" s="26" t="s">
        <v>600</v>
      </c>
      <c r="AU22" s="26" t="s">
        <v>601</v>
      </c>
      <c r="AV22" s="26" t="s">
        <v>601</v>
      </c>
      <c r="AX22" s="26" t="s">
        <v>602</v>
      </c>
      <c r="AY22" s="26" t="s">
        <v>179</v>
      </c>
      <c r="BC22" s="26" t="s">
        <v>587</v>
      </c>
      <c r="BD22" s="26" t="s">
        <v>180</v>
      </c>
      <c r="BE22" s="26" t="s">
        <v>181</v>
      </c>
      <c r="BF22" s="26" t="s">
        <v>167</v>
      </c>
      <c r="BH22" s="26" t="s">
        <v>162</v>
      </c>
      <c r="BI22" s="26" t="s">
        <v>182</v>
      </c>
      <c r="BJ22" s="26" t="s">
        <v>603</v>
      </c>
      <c r="BK22" s="26" t="s">
        <v>264</v>
      </c>
      <c r="BL22" s="26" t="s">
        <v>185</v>
      </c>
      <c r="BM22" s="26" t="s">
        <v>186</v>
      </c>
      <c r="BN22" s="26" t="s">
        <v>162</v>
      </c>
      <c r="BP22" s="26">
        <v>0</v>
      </c>
      <c r="BQ22" s="26" t="s">
        <v>432</v>
      </c>
      <c r="BS22" s="26" t="s">
        <v>230</v>
      </c>
      <c r="BT22" s="26" t="s">
        <v>185</v>
      </c>
      <c r="BV22" s="26">
        <v>24.6704</v>
      </c>
      <c r="BW22" s="26">
        <v>0.16</v>
      </c>
      <c r="BZ22" s="26">
        <v>0</v>
      </c>
      <c r="CA22" s="26" t="s">
        <v>189</v>
      </c>
      <c r="CC22" s="26" t="s">
        <v>162</v>
      </c>
      <c r="CD22" s="26">
        <v>0</v>
      </c>
      <c r="CE22" s="26" t="s">
        <v>190</v>
      </c>
      <c r="CF22" s="26" t="s">
        <v>167</v>
      </c>
      <c r="CG22" s="26" t="s">
        <v>604</v>
      </c>
      <c r="CI22" s="26" t="s">
        <v>267</v>
      </c>
      <c r="CJ22" s="26">
        <v>154.19</v>
      </c>
      <c r="CK22" s="26">
        <v>0</v>
      </c>
      <c r="CL22" s="26">
        <v>7.71</v>
      </c>
      <c r="CM22" s="26">
        <v>27.81</v>
      </c>
      <c r="CQ22" s="26" t="s">
        <v>605</v>
      </c>
      <c r="CR22" s="26" t="s">
        <v>606</v>
      </c>
      <c r="CS22" s="26" t="s">
        <v>607</v>
      </c>
      <c r="CW22" s="26" t="s">
        <v>608</v>
      </c>
      <c r="CX22" s="26" t="s">
        <v>195</v>
      </c>
      <c r="CY22" s="26" t="s">
        <v>196</v>
      </c>
      <c r="CZ22" s="26">
        <v>0</v>
      </c>
      <c r="DB22" s="26">
        <v>0</v>
      </c>
      <c r="DK22" s="26" t="s">
        <v>150</v>
      </c>
      <c r="DL22" s="26" t="s">
        <v>609</v>
      </c>
      <c r="DM22" s="26" t="s">
        <v>610</v>
      </c>
      <c r="DN22" s="26" t="s">
        <v>611</v>
      </c>
      <c r="DO22" s="26" t="s">
        <v>612</v>
      </c>
      <c r="DP22" s="26" t="s">
        <v>613</v>
      </c>
      <c r="DR22" s="26" t="s">
        <v>189</v>
      </c>
      <c r="DS22" s="26" t="s">
        <v>189</v>
      </c>
      <c r="DT22" s="26" t="s">
        <v>189</v>
      </c>
      <c r="DU22" s="26" t="s">
        <v>189</v>
      </c>
      <c r="DV22" s="26" t="s">
        <v>203</v>
      </c>
      <c r="DW22" s="26" t="s">
        <v>162</v>
      </c>
      <c r="DX22" s="26" t="s">
        <v>162</v>
      </c>
      <c r="DY22" s="26">
        <v>0</v>
      </c>
      <c r="DZ22" s="26" t="s">
        <v>150</v>
      </c>
      <c r="EH22" s="26" t="s">
        <v>189</v>
      </c>
      <c r="EI22" s="26">
        <v>0.16</v>
      </c>
      <c r="EJ22" s="26">
        <v>24.6704</v>
      </c>
      <c r="EK22" s="26">
        <v>27.81</v>
      </c>
      <c r="EL22" s="26" t="s">
        <v>614</v>
      </c>
      <c r="EM22" s="26" t="s">
        <v>206</v>
      </c>
      <c r="EN22" s="26" t="s">
        <v>207</v>
      </c>
    </row>
    <row r="23" spans="1:144">
      <c r="A23" s="26" t="s">
        <v>145</v>
      </c>
      <c r="B23" s="26" t="s">
        <v>395</v>
      </c>
      <c r="C23" s="26" t="s">
        <v>587</v>
      </c>
      <c r="D23" s="26" t="s">
        <v>148</v>
      </c>
      <c r="E23" s="26" t="s">
        <v>149</v>
      </c>
      <c r="G23" s="26" t="s">
        <v>151</v>
      </c>
      <c r="H23" s="26" t="s">
        <v>152</v>
      </c>
      <c r="I23" s="26" t="s">
        <v>153</v>
      </c>
      <c r="J23" s="26" t="s">
        <v>154</v>
      </c>
      <c r="K23" s="26" t="s">
        <v>244</v>
      </c>
      <c r="L23" s="26" t="s">
        <v>245</v>
      </c>
      <c r="M23" s="26" t="s">
        <v>588</v>
      </c>
      <c r="O23" s="26" t="s">
        <v>615</v>
      </c>
      <c r="P23" s="26" t="s">
        <v>616</v>
      </c>
      <c r="S23" s="26" t="s">
        <v>170</v>
      </c>
      <c r="T23" s="26">
        <v>148.058</v>
      </c>
      <c r="U23" s="26" t="s">
        <v>217</v>
      </c>
      <c r="V23" s="26" t="s">
        <v>150</v>
      </c>
      <c r="Y23" s="26" t="s">
        <v>593</v>
      </c>
      <c r="Z23" s="26">
        <v>23.12895</v>
      </c>
      <c r="AA23" s="26">
        <v>0</v>
      </c>
      <c r="AB23" s="26">
        <v>0</v>
      </c>
      <c r="AC23" s="26">
        <v>22</v>
      </c>
      <c r="AD23" s="26" t="s">
        <v>594</v>
      </c>
      <c r="AE23" s="26" t="s">
        <v>594</v>
      </c>
      <c r="AF23" s="26" t="s">
        <v>594</v>
      </c>
      <c r="AG23" s="26" t="s">
        <v>595</v>
      </c>
      <c r="AI23" s="26" t="s">
        <v>167</v>
      </c>
      <c r="AJ23" s="26" t="s">
        <v>168</v>
      </c>
      <c r="AK23" s="26" t="s">
        <v>169</v>
      </c>
      <c r="AM23" s="26" t="s">
        <v>597</v>
      </c>
      <c r="AN23" s="26" t="s">
        <v>172</v>
      </c>
      <c r="AO23" s="26" t="s">
        <v>432</v>
      </c>
      <c r="AP23" s="26" t="s">
        <v>162</v>
      </c>
      <c r="AQ23" s="26" t="s">
        <v>598</v>
      </c>
      <c r="AR23" s="26" t="s">
        <v>599</v>
      </c>
      <c r="AS23" s="26" t="s">
        <v>600</v>
      </c>
      <c r="AU23" s="26" t="s">
        <v>601</v>
      </c>
      <c r="AV23" s="26" t="s">
        <v>601</v>
      </c>
      <c r="AX23" s="26" t="s">
        <v>602</v>
      </c>
      <c r="AY23" s="26" t="s">
        <v>179</v>
      </c>
      <c r="BC23" s="26" t="s">
        <v>587</v>
      </c>
      <c r="BD23" s="26" t="s">
        <v>180</v>
      </c>
      <c r="BE23" s="26" t="s">
        <v>181</v>
      </c>
      <c r="BF23" s="26" t="s">
        <v>167</v>
      </c>
      <c r="BH23" s="26" t="s">
        <v>162</v>
      </c>
      <c r="BI23" s="26" t="s">
        <v>182</v>
      </c>
      <c r="BJ23" s="26" t="s">
        <v>603</v>
      </c>
      <c r="BK23" s="26" t="s">
        <v>264</v>
      </c>
      <c r="BL23" s="26" t="s">
        <v>185</v>
      </c>
      <c r="BM23" s="26" t="s">
        <v>186</v>
      </c>
      <c r="BN23" s="26" t="s">
        <v>162</v>
      </c>
      <c r="BP23" s="26">
        <v>0</v>
      </c>
      <c r="BQ23" s="26" t="s">
        <v>432</v>
      </c>
      <c r="BS23" s="26" t="s">
        <v>230</v>
      </c>
      <c r="BT23" s="26" t="s">
        <v>185</v>
      </c>
      <c r="BV23" s="26">
        <v>24.6704</v>
      </c>
      <c r="BW23" s="26">
        <v>0.16</v>
      </c>
      <c r="BZ23" s="26">
        <v>0</v>
      </c>
      <c r="CA23" s="26" t="s">
        <v>189</v>
      </c>
      <c r="CC23" s="26" t="s">
        <v>162</v>
      </c>
      <c r="CD23" s="26">
        <v>0</v>
      </c>
      <c r="CE23" s="26" t="s">
        <v>190</v>
      </c>
      <c r="CF23" s="26" t="s">
        <v>195</v>
      </c>
      <c r="CG23" s="26" t="s">
        <v>617</v>
      </c>
      <c r="CI23" s="26" t="s">
        <v>267</v>
      </c>
      <c r="CJ23" s="26">
        <v>154.19</v>
      </c>
      <c r="CK23" s="26">
        <v>0</v>
      </c>
      <c r="CL23" s="26">
        <v>7.71</v>
      </c>
      <c r="CM23" s="26">
        <v>27.81</v>
      </c>
      <c r="CQ23" s="26" t="s">
        <v>605</v>
      </c>
      <c r="CR23" s="26" t="s">
        <v>606</v>
      </c>
      <c r="CS23" s="26" t="s">
        <v>607</v>
      </c>
      <c r="CW23" s="26" t="s">
        <v>608</v>
      </c>
      <c r="CX23" s="26" t="s">
        <v>195</v>
      </c>
      <c r="CY23" s="26" t="s">
        <v>196</v>
      </c>
      <c r="CZ23" s="26">
        <v>0</v>
      </c>
      <c r="DB23" s="26">
        <v>0</v>
      </c>
      <c r="DK23" s="26" t="s">
        <v>150</v>
      </c>
      <c r="DL23" s="26" t="s">
        <v>609</v>
      </c>
      <c r="DM23" s="26" t="s">
        <v>610</v>
      </c>
      <c r="DN23" s="26" t="s">
        <v>611</v>
      </c>
      <c r="DO23" s="26" t="s">
        <v>612</v>
      </c>
      <c r="DP23" s="26" t="s">
        <v>613</v>
      </c>
      <c r="DR23" s="26" t="s">
        <v>189</v>
      </c>
      <c r="DS23" s="26" t="s">
        <v>189</v>
      </c>
      <c r="DT23" s="26" t="s">
        <v>189</v>
      </c>
      <c r="DU23" s="26" t="s">
        <v>189</v>
      </c>
      <c r="DV23" s="26" t="s">
        <v>203</v>
      </c>
      <c r="DW23" s="26" t="s">
        <v>162</v>
      </c>
      <c r="DX23" s="26" t="s">
        <v>162</v>
      </c>
      <c r="DY23" s="26">
        <v>0</v>
      </c>
      <c r="DZ23" s="26" t="s">
        <v>150</v>
      </c>
      <c r="EH23" s="26" t="s">
        <v>189</v>
      </c>
      <c r="EI23" s="26">
        <v>0.16</v>
      </c>
      <c r="EJ23" s="26">
        <v>24.6704</v>
      </c>
      <c r="EK23" s="26">
        <v>27.81</v>
      </c>
      <c r="EL23" s="26" t="s">
        <v>618</v>
      </c>
      <c r="EM23" s="26" t="s">
        <v>206</v>
      </c>
      <c r="EN23" s="26" t="s">
        <v>207</v>
      </c>
    </row>
    <row r="24" spans="1:144">
      <c r="A24" s="26" t="s">
        <v>145</v>
      </c>
      <c r="B24" s="26" t="s">
        <v>146</v>
      </c>
      <c r="C24" s="26" t="s">
        <v>619</v>
      </c>
      <c r="D24" s="26" t="s">
        <v>148</v>
      </c>
      <c r="E24" s="26" t="s">
        <v>149</v>
      </c>
      <c r="G24" s="26" t="s">
        <v>151</v>
      </c>
      <c r="H24" s="26" t="s">
        <v>152</v>
      </c>
      <c r="I24" s="26" t="s">
        <v>153</v>
      </c>
      <c r="J24" s="26" t="s">
        <v>154</v>
      </c>
      <c r="K24" s="26" t="s">
        <v>209</v>
      </c>
      <c r="L24" s="26" t="s">
        <v>620</v>
      </c>
      <c r="M24" s="26" t="s">
        <v>621</v>
      </c>
      <c r="N24" s="26" t="s">
        <v>622</v>
      </c>
      <c r="O24" s="26" t="s">
        <v>623</v>
      </c>
      <c r="P24" s="26" t="s">
        <v>624</v>
      </c>
      <c r="Q24" s="26" t="s">
        <v>625</v>
      </c>
      <c r="R24" s="26">
        <v>314.772627</v>
      </c>
      <c r="S24" s="26" t="s">
        <v>626</v>
      </c>
      <c r="T24" s="26">
        <v>308.818542</v>
      </c>
      <c r="U24" s="26" t="s">
        <v>217</v>
      </c>
      <c r="V24" s="26" t="s">
        <v>150</v>
      </c>
      <c r="Y24" s="26" t="s">
        <v>627</v>
      </c>
      <c r="Z24" s="26">
        <v>47.21589405</v>
      </c>
      <c r="AA24" s="26">
        <v>0</v>
      </c>
      <c r="AB24" s="26">
        <v>0</v>
      </c>
      <c r="AC24" s="26">
        <v>71</v>
      </c>
      <c r="AD24" s="26" t="s">
        <v>628</v>
      </c>
      <c r="AE24" s="26" t="s">
        <v>628</v>
      </c>
      <c r="AF24" s="26" t="s">
        <v>628</v>
      </c>
      <c r="AG24" s="26" t="s">
        <v>629</v>
      </c>
      <c r="AH24" s="26" t="s">
        <v>630</v>
      </c>
      <c r="AI24" s="26" t="s">
        <v>167</v>
      </c>
      <c r="AJ24" s="26" t="s">
        <v>168</v>
      </c>
      <c r="AK24" s="26" t="s">
        <v>169</v>
      </c>
      <c r="AL24" s="26" t="s">
        <v>631</v>
      </c>
      <c r="AM24" s="26" t="s">
        <v>632</v>
      </c>
      <c r="AN24" s="26" t="s">
        <v>172</v>
      </c>
      <c r="AO24" s="26" t="s">
        <v>223</v>
      </c>
      <c r="AP24" s="26" t="s">
        <v>162</v>
      </c>
      <c r="AQ24" s="26" t="s">
        <v>633</v>
      </c>
      <c r="AR24" s="26" t="s">
        <v>634</v>
      </c>
      <c r="AS24" s="26" t="s">
        <v>635</v>
      </c>
      <c r="AU24" s="26" t="s">
        <v>636</v>
      </c>
      <c r="AV24" s="26" t="s">
        <v>636</v>
      </c>
      <c r="AX24" s="26" t="s">
        <v>637</v>
      </c>
      <c r="AY24" s="26" t="s">
        <v>179</v>
      </c>
      <c r="BC24" s="26" t="s">
        <v>619</v>
      </c>
      <c r="BD24" s="26" t="s">
        <v>180</v>
      </c>
      <c r="BE24" s="26" t="s">
        <v>181</v>
      </c>
      <c r="BF24" s="26" t="s">
        <v>167</v>
      </c>
      <c r="BH24" s="26" t="s">
        <v>162</v>
      </c>
      <c r="BI24" s="26" t="s">
        <v>182</v>
      </c>
      <c r="BJ24" s="26" t="s">
        <v>171</v>
      </c>
      <c r="BK24" s="26" t="s">
        <v>184</v>
      </c>
      <c r="BL24" s="26" t="s">
        <v>185</v>
      </c>
      <c r="BM24" s="26" t="s">
        <v>186</v>
      </c>
      <c r="BN24" s="26" t="s">
        <v>162</v>
      </c>
      <c r="BP24" s="26">
        <v>0</v>
      </c>
      <c r="BQ24" s="26" t="s">
        <v>223</v>
      </c>
      <c r="BS24" s="26" t="s">
        <v>230</v>
      </c>
      <c r="BT24" s="26" t="s">
        <v>185</v>
      </c>
      <c r="BV24" s="26">
        <v>44.0678</v>
      </c>
      <c r="BW24" s="26">
        <v>0.14</v>
      </c>
      <c r="BZ24" s="26">
        <v>0</v>
      </c>
      <c r="CA24" s="26" t="s">
        <v>189</v>
      </c>
      <c r="CC24" s="26" t="s">
        <v>162</v>
      </c>
      <c r="CD24" s="26">
        <v>0</v>
      </c>
      <c r="CE24" s="26" t="s">
        <v>190</v>
      </c>
      <c r="CF24" s="26" t="s">
        <v>167</v>
      </c>
      <c r="CG24" s="26" t="s">
        <v>638</v>
      </c>
      <c r="CI24" s="26" t="s">
        <v>232</v>
      </c>
      <c r="CJ24" s="26">
        <v>314.77</v>
      </c>
      <c r="CK24" s="26">
        <v>0</v>
      </c>
      <c r="CL24" s="26">
        <v>15.74</v>
      </c>
      <c r="CM24" s="26">
        <v>64.27</v>
      </c>
      <c r="CQ24" s="26" t="s">
        <v>437</v>
      </c>
      <c r="CR24" s="26" t="s">
        <v>639</v>
      </c>
      <c r="CS24" s="26" t="s">
        <v>640</v>
      </c>
      <c r="CW24" s="26" t="s">
        <v>641</v>
      </c>
      <c r="CX24" s="26" t="s">
        <v>167</v>
      </c>
      <c r="CY24" s="26" t="s">
        <v>196</v>
      </c>
      <c r="CZ24" s="26">
        <v>0</v>
      </c>
      <c r="DB24" s="26">
        <v>0</v>
      </c>
      <c r="DK24" s="26" t="s">
        <v>150</v>
      </c>
      <c r="DL24" s="26" t="s">
        <v>581</v>
      </c>
      <c r="DM24" s="26" t="s">
        <v>642</v>
      </c>
      <c r="DN24" s="26" t="s">
        <v>643</v>
      </c>
      <c r="DO24" s="26" t="s">
        <v>644</v>
      </c>
      <c r="DP24" s="26" t="s">
        <v>645</v>
      </c>
      <c r="DR24" s="26" t="s">
        <v>189</v>
      </c>
      <c r="DS24" s="26" t="s">
        <v>189</v>
      </c>
      <c r="DT24" s="26" t="s">
        <v>189</v>
      </c>
      <c r="DU24" s="26" t="s">
        <v>189</v>
      </c>
      <c r="DV24" s="26" t="s">
        <v>203</v>
      </c>
      <c r="DW24" s="26" t="s">
        <v>162</v>
      </c>
      <c r="DX24" s="26" t="s">
        <v>162</v>
      </c>
      <c r="DY24" s="26">
        <v>0</v>
      </c>
      <c r="DZ24" s="26" t="s">
        <v>150</v>
      </c>
      <c r="EH24" s="26" t="s">
        <v>189</v>
      </c>
      <c r="EI24" s="26">
        <v>0.14</v>
      </c>
      <c r="EJ24" s="26">
        <v>44.0678</v>
      </c>
      <c r="EK24" s="26">
        <v>64.27</v>
      </c>
      <c r="EL24" s="26" t="s">
        <v>646</v>
      </c>
      <c r="EM24" s="26" t="s">
        <v>206</v>
      </c>
      <c r="EN24" s="26" t="s">
        <v>207</v>
      </c>
    </row>
    <row r="25" spans="1:144">
      <c r="A25" s="26" t="s">
        <v>145</v>
      </c>
      <c r="B25" s="26" t="s">
        <v>146</v>
      </c>
      <c r="C25" s="26" t="s">
        <v>647</v>
      </c>
      <c r="D25" s="26" t="s">
        <v>148</v>
      </c>
      <c r="E25" s="26" t="s">
        <v>149</v>
      </c>
      <c r="G25" s="26" t="s">
        <v>151</v>
      </c>
      <c r="H25" s="26" t="s">
        <v>152</v>
      </c>
      <c r="I25" s="26" t="s">
        <v>153</v>
      </c>
      <c r="J25" s="26" t="s">
        <v>154</v>
      </c>
      <c r="K25" s="26" t="s">
        <v>155</v>
      </c>
      <c r="L25" s="26" t="s">
        <v>648</v>
      </c>
      <c r="M25" s="26" t="s">
        <v>649</v>
      </c>
      <c r="N25" s="26" t="s">
        <v>650</v>
      </c>
      <c r="O25" s="26" t="s">
        <v>651</v>
      </c>
      <c r="P25" s="26" t="s">
        <v>652</v>
      </c>
      <c r="Q25" s="26" t="s">
        <v>653</v>
      </c>
      <c r="R25" s="26">
        <v>219.904206</v>
      </c>
      <c r="S25" s="26" t="s">
        <v>654</v>
      </c>
      <c r="T25" s="26">
        <v>213.950121</v>
      </c>
      <c r="U25" s="26" t="s">
        <v>217</v>
      </c>
      <c r="V25" s="26" t="s">
        <v>150</v>
      </c>
      <c r="Y25" s="26" t="s">
        <v>655</v>
      </c>
      <c r="Z25" s="26">
        <v>32.9856309</v>
      </c>
      <c r="AA25" s="26">
        <v>0</v>
      </c>
      <c r="AB25" s="26">
        <v>0</v>
      </c>
      <c r="AC25" s="26">
        <v>35</v>
      </c>
      <c r="AD25" s="26" t="s">
        <v>458</v>
      </c>
      <c r="AE25" s="26" t="s">
        <v>458</v>
      </c>
      <c r="AF25" s="26" t="s">
        <v>458</v>
      </c>
      <c r="AG25" s="26" t="s">
        <v>656</v>
      </c>
      <c r="AI25" s="26" t="s">
        <v>167</v>
      </c>
      <c r="AJ25" s="26" t="s">
        <v>168</v>
      </c>
      <c r="AK25" s="26" t="s">
        <v>169</v>
      </c>
      <c r="AL25" s="26" t="s">
        <v>657</v>
      </c>
      <c r="AM25" s="26" t="s">
        <v>658</v>
      </c>
      <c r="AN25" s="26" t="s">
        <v>172</v>
      </c>
      <c r="AO25" s="26" t="s">
        <v>659</v>
      </c>
      <c r="AP25" s="26" t="s">
        <v>162</v>
      </c>
      <c r="AQ25" s="26" t="s">
        <v>660</v>
      </c>
      <c r="AR25" s="26" t="s">
        <v>661</v>
      </c>
      <c r="AS25" s="26" t="s">
        <v>662</v>
      </c>
      <c r="AU25" s="26" t="s">
        <v>663</v>
      </c>
      <c r="AV25" s="26" t="s">
        <v>663</v>
      </c>
      <c r="AX25" s="26" t="s">
        <v>664</v>
      </c>
      <c r="AY25" s="26" t="s">
        <v>179</v>
      </c>
      <c r="BC25" s="26" t="s">
        <v>647</v>
      </c>
      <c r="BD25" s="26" t="s">
        <v>180</v>
      </c>
      <c r="BE25" s="26" t="s">
        <v>181</v>
      </c>
      <c r="BF25" s="26" t="s">
        <v>167</v>
      </c>
      <c r="BH25" s="26" t="s">
        <v>162</v>
      </c>
      <c r="BI25" s="26" t="s">
        <v>182</v>
      </c>
      <c r="BJ25" s="26" t="s">
        <v>665</v>
      </c>
      <c r="BK25" s="26" t="s">
        <v>184</v>
      </c>
      <c r="BL25" s="26" t="s">
        <v>185</v>
      </c>
      <c r="BM25" s="26" t="s">
        <v>186</v>
      </c>
      <c r="BN25" s="26" t="s">
        <v>162</v>
      </c>
      <c r="BP25" s="26">
        <v>0</v>
      </c>
      <c r="BQ25" s="26" t="s">
        <v>666</v>
      </c>
      <c r="BR25" s="26" t="s">
        <v>667</v>
      </c>
      <c r="BS25" s="26" t="s">
        <v>230</v>
      </c>
      <c r="BT25" s="26" t="s">
        <v>185</v>
      </c>
      <c r="BV25" s="26">
        <v>35.184</v>
      </c>
      <c r="BW25" s="26">
        <v>0.16</v>
      </c>
      <c r="BZ25" s="26">
        <v>0</v>
      </c>
      <c r="CA25" s="26" t="s">
        <v>189</v>
      </c>
      <c r="CC25" s="26" t="s">
        <v>162</v>
      </c>
      <c r="CD25" s="26">
        <v>0</v>
      </c>
      <c r="CE25" s="26" t="s">
        <v>190</v>
      </c>
      <c r="CF25" s="26" t="s">
        <v>167</v>
      </c>
      <c r="CG25" s="26" t="s">
        <v>668</v>
      </c>
      <c r="CI25" s="26" t="s">
        <v>191</v>
      </c>
      <c r="CJ25" s="26">
        <v>219.9</v>
      </c>
      <c r="CK25" s="26">
        <v>0</v>
      </c>
      <c r="CL25" s="26">
        <v>11</v>
      </c>
      <c r="CM25" s="26">
        <v>47.17</v>
      </c>
      <c r="CQ25" s="26" t="s">
        <v>605</v>
      </c>
      <c r="CR25" s="26" t="s">
        <v>669</v>
      </c>
      <c r="CS25" s="26" t="s">
        <v>670</v>
      </c>
      <c r="CW25" s="26" t="s">
        <v>671</v>
      </c>
      <c r="CX25" s="26" t="s">
        <v>162</v>
      </c>
      <c r="CY25" s="26" t="s">
        <v>196</v>
      </c>
      <c r="CZ25" s="26">
        <v>0</v>
      </c>
      <c r="DB25" s="26">
        <v>0</v>
      </c>
      <c r="DK25" s="26" t="s">
        <v>150</v>
      </c>
      <c r="DL25" s="26" t="s">
        <v>672</v>
      </c>
      <c r="DM25" s="26" t="s">
        <v>673</v>
      </c>
      <c r="DN25" s="26" t="s">
        <v>674</v>
      </c>
      <c r="DO25" s="26" t="s">
        <v>644</v>
      </c>
      <c r="DP25" s="26" t="s">
        <v>675</v>
      </c>
      <c r="DR25" s="26" t="s">
        <v>189</v>
      </c>
      <c r="DS25" s="26" t="s">
        <v>189</v>
      </c>
      <c r="DT25" s="26" t="s">
        <v>189</v>
      </c>
      <c r="DU25" s="26" t="s">
        <v>189</v>
      </c>
      <c r="DV25" s="26" t="s">
        <v>203</v>
      </c>
      <c r="DW25" s="26" t="s">
        <v>162</v>
      </c>
      <c r="DX25" s="26" t="s">
        <v>162</v>
      </c>
      <c r="DY25" s="26">
        <v>0</v>
      </c>
      <c r="DZ25" s="26" t="s">
        <v>150</v>
      </c>
      <c r="EH25" s="26" t="s">
        <v>189</v>
      </c>
      <c r="EI25" s="26">
        <v>0.16</v>
      </c>
      <c r="EJ25" s="26">
        <v>35.184</v>
      </c>
      <c r="EK25" s="26">
        <v>47.17</v>
      </c>
      <c r="EL25" s="26" t="s">
        <v>676</v>
      </c>
      <c r="EM25" s="26" t="s">
        <v>206</v>
      </c>
      <c r="EN25" s="26" t="s">
        <v>207</v>
      </c>
    </row>
    <row r="26" spans="1:144">
      <c r="A26" s="26" t="s">
        <v>145</v>
      </c>
      <c r="B26" s="26" t="s">
        <v>395</v>
      </c>
      <c r="C26" s="26" t="s">
        <v>677</v>
      </c>
      <c r="D26" s="26" t="s">
        <v>148</v>
      </c>
      <c r="E26" s="26" t="s">
        <v>149</v>
      </c>
      <c r="F26" s="26" t="s">
        <v>150</v>
      </c>
      <c r="G26" s="26" t="s">
        <v>151</v>
      </c>
      <c r="H26" s="26" t="s">
        <v>152</v>
      </c>
      <c r="I26" s="26" t="s">
        <v>153</v>
      </c>
      <c r="J26" s="26" t="s">
        <v>154</v>
      </c>
      <c r="K26" s="26" t="s">
        <v>209</v>
      </c>
      <c r="L26" s="26" t="s">
        <v>620</v>
      </c>
      <c r="M26" s="26" t="s">
        <v>678</v>
      </c>
      <c r="N26" s="26" t="s">
        <v>679</v>
      </c>
      <c r="O26" s="26" t="s">
        <v>680</v>
      </c>
      <c r="P26" s="26" t="s">
        <v>681</v>
      </c>
      <c r="Q26" s="26" t="s">
        <v>682</v>
      </c>
      <c r="R26" s="26">
        <v>224.95</v>
      </c>
      <c r="S26" s="26" t="s">
        <v>683</v>
      </c>
      <c r="T26" s="26">
        <v>218.815</v>
      </c>
      <c r="U26" s="26" t="s">
        <v>217</v>
      </c>
      <c r="V26" s="26" t="s">
        <v>150</v>
      </c>
      <c r="Y26" s="26" t="s">
        <v>684</v>
      </c>
      <c r="Z26" s="26">
        <v>33.7425</v>
      </c>
      <c r="AA26" s="26">
        <v>0</v>
      </c>
      <c r="AB26" s="26">
        <v>0</v>
      </c>
      <c r="AC26" s="26">
        <v>45.5</v>
      </c>
      <c r="AD26" s="26" t="s">
        <v>685</v>
      </c>
      <c r="AE26" s="26" t="s">
        <v>685</v>
      </c>
      <c r="AF26" s="26" t="s">
        <v>685</v>
      </c>
      <c r="AG26" s="26" t="s">
        <v>686</v>
      </c>
      <c r="AI26" s="26" t="s">
        <v>167</v>
      </c>
      <c r="AJ26" s="26" t="s">
        <v>168</v>
      </c>
      <c r="AK26" s="26" t="s">
        <v>169</v>
      </c>
      <c r="AL26" s="26" t="s">
        <v>687</v>
      </c>
      <c r="AM26" s="26" t="s">
        <v>597</v>
      </c>
      <c r="AN26" s="26" t="s">
        <v>172</v>
      </c>
      <c r="AO26" s="26" t="s">
        <v>688</v>
      </c>
      <c r="AP26" s="26" t="s">
        <v>167</v>
      </c>
      <c r="AQ26" s="26" t="s">
        <v>689</v>
      </c>
      <c r="AR26" s="26" t="s">
        <v>690</v>
      </c>
      <c r="AS26" s="26" t="s">
        <v>175</v>
      </c>
      <c r="AT26" s="26" t="s">
        <v>691</v>
      </c>
      <c r="AU26" s="26" t="s">
        <v>692</v>
      </c>
      <c r="AV26" s="26" t="s">
        <v>692</v>
      </c>
      <c r="AX26" s="26" t="s">
        <v>693</v>
      </c>
      <c r="AY26" s="26" t="s">
        <v>179</v>
      </c>
      <c r="BC26" s="26" t="s">
        <v>677</v>
      </c>
      <c r="BD26" s="26" t="s">
        <v>180</v>
      </c>
      <c r="BE26" s="26" t="s">
        <v>181</v>
      </c>
      <c r="BF26" s="26" t="s">
        <v>167</v>
      </c>
      <c r="BH26" s="26" t="s">
        <v>162</v>
      </c>
      <c r="BI26" s="26" t="s">
        <v>182</v>
      </c>
      <c r="BJ26" s="26" t="s">
        <v>694</v>
      </c>
      <c r="BK26" s="26" t="s">
        <v>184</v>
      </c>
      <c r="BL26" s="26" t="s">
        <v>185</v>
      </c>
      <c r="BM26" s="26" t="s">
        <v>186</v>
      </c>
      <c r="BN26" s="26" t="s">
        <v>162</v>
      </c>
      <c r="BP26" s="26">
        <v>0</v>
      </c>
      <c r="BR26" s="26" t="s">
        <v>695</v>
      </c>
      <c r="BS26" s="26" t="s">
        <v>230</v>
      </c>
      <c r="BT26" s="26" t="s">
        <v>185</v>
      </c>
      <c r="BV26" s="26">
        <v>31.493</v>
      </c>
      <c r="BW26" s="26">
        <v>0.14</v>
      </c>
      <c r="BZ26" s="26">
        <v>0</v>
      </c>
      <c r="CA26" s="26" t="s">
        <v>189</v>
      </c>
      <c r="CC26" s="26" t="s">
        <v>162</v>
      </c>
      <c r="CD26" s="26">
        <v>0</v>
      </c>
      <c r="CE26" s="26" t="s">
        <v>190</v>
      </c>
      <c r="CF26" s="26" t="s">
        <v>167</v>
      </c>
      <c r="CG26" s="26" t="s">
        <v>696</v>
      </c>
      <c r="CI26" s="26" t="s">
        <v>232</v>
      </c>
      <c r="CJ26" s="26">
        <v>224.95</v>
      </c>
      <c r="CK26" s="26">
        <v>0</v>
      </c>
      <c r="CL26" s="26">
        <v>11.25</v>
      </c>
      <c r="CM26" s="26">
        <v>37.76</v>
      </c>
      <c r="CQ26" s="26" t="s">
        <v>192</v>
      </c>
      <c r="CR26" s="26" t="s">
        <v>697</v>
      </c>
      <c r="CS26" s="26" t="s">
        <v>698</v>
      </c>
      <c r="CW26" s="26" t="s">
        <v>699</v>
      </c>
      <c r="CX26" s="26" t="s">
        <v>162</v>
      </c>
      <c r="CY26" s="26" t="s">
        <v>196</v>
      </c>
      <c r="CZ26" s="26">
        <v>0</v>
      </c>
      <c r="DA26" s="26" t="s">
        <v>150</v>
      </c>
      <c r="DB26" s="26">
        <v>0</v>
      </c>
      <c r="DK26" s="26" t="s">
        <v>150</v>
      </c>
      <c r="DL26" s="26" t="s">
        <v>700</v>
      </c>
      <c r="DM26" s="26" t="s">
        <v>701</v>
      </c>
      <c r="DN26" s="26" t="s">
        <v>702</v>
      </c>
      <c r="DO26" s="26" t="s">
        <v>703</v>
      </c>
      <c r="DP26" s="26" t="s">
        <v>704</v>
      </c>
      <c r="DR26" s="26" t="s">
        <v>189</v>
      </c>
      <c r="DS26" s="26" t="s">
        <v>189</v>
      </c>
      <c r="DT26" s="26" t="s">
        <v>189</v>
      </c>
      <c r="DU26" s="26" t="s">
        <v>189</v>
      </c>
      <c r="DV26" s="26" t="s">
        <v>203</v>
      </c>
      <c r="DW26" s="26" t="s">
        <v>162</v>
      </c>
      <c r="DX26" s="26" t="s">
        <v>162</v>
      </c>
      <c r="DY26" s="26">
        <v>0</v>
      </c>
      <c r="DZ26" s="26" t="s">
        <v>150</v>
      </c>
      <c r="EA26" s="26" t="s">
        <v>534</v>
      </c>
      <c r="EB26" s="26" t="s">
        <v>547</v>
      </c>
      <c r="EH26" s="26" t="s">
        <v>189</v>
      </c>
      <c r="EI26" s="26">
        <v>0.14</v>
      </c>
      <c r="EJ26" s="26">
        <v>31.493</v>
      </c>
      <c r="EK26" s="26">
        <v>37.76</v>
      </c>
      <c r="EL26" s="26" t="s">
        <v>705</v>
      </c>
      <c r="EM26" s="26" t="s">
        <v>206</v>
      </c>
      <c r="EN26" s="26" t="s">
        <v>207</v>
      </c>
    </row>
    <row r="27" spans="1:144">
      <c r="A27" s="26" t="s">
        <v>145</v>
      </c>
      <c r="B27" s="26" t="s">
        <v>395</v>
      </c>
      <c r="C27" s="26" t="s">
        <v>706</v>
      </c>
      <c r="D27" s="26" t="s">
        <v>148</v>
      </c>
      <c r="E27" s="26" t="s">
        <v>149</v>
      </c>
      <c r="G27" s="26" t="s">
        <v>151</v>
      </c>
      <c r="H27" s="26" t="s">
        <v>152</v>
      </c>
      <c r="I27" s="26" t="s">
        <v>153</v>
      </c>
      <c r="J27" s="26" t="s">
        <v>154</v>
      </c>
      <c r="K27" s="26" t="s">
        <v>244</v>
      </c>
      <c r="L27" s="26" t="s">
        <v>707</v>
      </c>
      <c r="M27" s="26" t="s">
        <v>708</v>
      </c>
      <c r="N27" s="26" t="s">
        <v>709</v>
      </c>
      <c r="O27" s="26" t="s">
        <v>710</v>
      </c>
      <c r="P27" s="26" t="s">
        <v>711</v>
      </c>
      <c r="Q27" s="26" t="s">
        <v>712</v>
      </c>
      <c r="R27" s="26">
        <v>380.37</v>
      </c>
      <c r="S27" s="26" t="s">
        <v>713</v>
      </c>
      <c r="T27" s="26">
        <v>184.05</v>
      </c>
      <c r="U27" s="26" t="s">
        <v>217</v>
      </c>
      <c r="V27" s="26" t="s">
        <v>150</v>
      </c>
      <c r="Y27" s="26" t="s">
        <v>714</v>
      </c>
      <c r="Z27" s="26">
        <v>28.52775</v>
      </c>
      <c r="AA27" s="26">
        <v>0</v>
      </c>
      <c r="AB27" s="26">
        <v>0</v>
      </c>
      <c r="AC27" s="26">
        <v>34</v>
      </c>
      <c r="AD27" s="26" t="s">
        <v>715</v>
      </c>
      <c r="AE27" s="26" t="s">
        <v>715</v>
      </c>
      <c r="AF27" s="26" t="s">
        <v>715</v>
      </c>
      <c r="AG27" s="26" t="s">
        <v>716</v>
      </c>
      <c r="AI27" s="26" t="s">
        <v>167</v>
      </c>
      <c r="AJ27" s="26" t="s">
        <v>168</v>
      </c>
      <c r="AK27" s="26" t="s">
        <v>169</v>
      </c>
      <c r="AL27" s="26" t="s">
        <v>717</v>
      </c>
      <c r="AM27" s="26" t="s">
        <v>718</v>
      </c>
      <c r="AN27" s="26" t="s">
        <v>172</v>
      </c>
      <c r="AO27" s="26" t="s">
        <v>494</v>
      </c>
      <c r="AP27" s="26" t="s">
        <v>162</v>
      </c>
      <c r="AQ27" s="26" t="s">
        <v>719</v>
      </c>
      <c r="AR27" s="26" t="s">
        <v>720</v>
      </c>
      <c r="AS27" s="26" t="s">
        <v>721</v>
      </c>
      <c r="AU27" s="26" t="s">
        <v>722</v>
      </c>
      <c r="AV27" s="26" t="s">
        <v>722</v>
      </c>
      <c r="AX27" s="26" t="s">
        <v>723</v>
      </c>
      <c r="AY27" s="26" t="s">
        <v>179</v>
      </c>
      <c r="BC27" s="26" t="s">
        <v>706</v>
      </c>
      <c r="BD27" s="26" t="s">
        <v>180</v>
      </c>
      <c r="BE27" s="26" t="s">
        <v>181</v>
      </c>
      <c r="BF27" s="26" t="s">
        <v>167</v>
      </c>
      <c r="BH27" s="26" t="s">
        <v>162</v>
      </c>
      <c r="BI27" s="26" t="s">
        <v>182</v>
      </c>
      <c r="BJ27" s="26" t="s">
        <v>724</v>
      </c>
      <c r="BK27" s="26" t="s">
        <v>264</v>
      </c>
      <c r="BL27" s="26" t="s">
        <v>185</v>
      </c>
      <c r="BM27" s="26" t="s">
        <v>186</v>
      </c>
      <c r="BN27" s="26" t="s">
        <v>162</v>
      </c>
      <c r="BP27" s="26">
        <v>0</v>
      </c>
      <c r="BQ27" s="26" t="s">
        <v>494</v>
      </c>
      <c r="BS27" s="26" t="s">
        <v>230</v>
      </c>
      <c r="BT27" s="26" t="s">
        <v>185</v>
      </c>
      <c r="BV27" s="26">
        <v>30.4304</v>
      </c>
      <c r="BW27" s="26">
        <v>0.16</v>
      </c>
      <c r="BZ27" s="26">
        <v>0</v>
      </c>
      <c r="CA27" s="26" t="s">
        <v>189</v>
      </c>
      <c r="CC27" s="26" t="s">
        <v>162</v>
      </c>
      <c r="CD27" s="26">
        <v>0</v>
      </c>
      <c r="CE27" s="26" t="s">
        <v>190</v>
      </c>
      <c r="CF27" s="26" t="s">
        <v>167</v>
      </c>
      <c r="CG27" s="26" t="s">
        <v>725</v>
      </c>
      <c r="CI27" s="26" t="s">
        <v>267</v>
      </c>
      <c r="CJ27" s="26">
        <v>190.19</v>
      </c>
      <c r="CK27" s="26">
        <v>0</v>
      </c>
      <c r="CL27" s="26">
        <v>9.51</v>
      </c>
      <c r="CM27" s="26">
        <v>45.99</v>
      </c>
      <c r="CQ27" s="26" t="s">
        <v>437</v>
      </c>
      <c r="CR27" s="26" t="s">
        <v>726</v>
      </c>
      <c r="CS27" s="26" t="s">
        <v>727</v>
      </c>
      <c r="CW27" s="26" t="s">
        <v>728</v>
      </c>
      <c r="CX27" s="26" t="s">
        <v>195</v>
      </c>
      <c r="CY27" s="26" t="s">
        <v>196</v>
      </c>
      <c r="CZ27" s="26">
        <v>0</v>
      </c>
      <c r="DB27" s="26">
        <v>0</v>
      </c>
      <c r="DK27" s="26" t="s">
        <v>150</v>
      </c>
      <c r="DL27" s="26" t="s">
        <v>729</v>
      </c>
      <c r="DM27" s="26" t="s">
        <v>730</v>
      </c>
      <c r="DN27" s="26" t="s">
        <v>731</v>
      </c>
      <c r="DO27" s="26" t="s">
        <v>703</v>
      </c>
      <c r="DP27" s="26" t="s">
        <v>732</v>
      </c>
      <c r="DR27" s="26" t="s">
        <v>189</v>
      </c>
      <c r="DS27" s="26" t="s">
        <v>189</v>
      </c>
      <c r="DT27" s="26" t="s">
        <v>189</v>
      </c>
      <c r="DU27" s="26" t="s">
        <v>189</v>
      </c>
      <c r="DV27" s="26" t="s">
        <v>203</v>
      </c>
      <c r="DW27" s="26" t="s">
        <v>162</v>
      </c>
      <c r="DX27" s="26" t="s">
        <v>162</v>
      </c>
      <c r="DY27" s="26">
        <v>0</v>
      </c>
      <c r="DZ27" s="26" t="s">
        <v>150</v>
      </c>
      <c r="EH27" s="26" t="s">
        <v>189</v>
      </c>
      <c r="EI27" s="26">
        <v>0.16</v>
      </c>
      <c r="EJ27" s="26">
        <v>30.4304</v>
      </c>
      <c r="EK27" s="26">
        <v>45.99</v>
      </c>
      <c r="EL27" s="26" t="s">
        <v>733</v>
      </c>
      <c r="EM27" s="26" t="s">
        <v>206</v>
      </c>
      <c r="EN27" s="26" t="s">
        <v>207</v>
      </c>
    </row>
    <row r="28" spans="1:144">
      <c r="A28" s="26" t="s">
        <v>145</v>
      </c>
      <c r="B28" s="26" t="s">
        <v>395</v>
      </c>
      <c r="C28" s="26" t="s">
        <v>706</v>
      </c>
      <c r="D28" s="26" t="s">
        <v>148</v>
      </c>
      <c r="E28" s="26" t="s">
        <v>149</v>
      </c>
      <c r="G28" s="26" t="s">
        <v>151</v>
      </c>
      <c r="H28" s="26" t="s">
        <v>152</v>
      </c>
      <c r="I28" s="26" t="s">
        <v>153</v>
      </c>
      <c r="J28" s="26" t="s">
        <v>154</v>
      </c>
      <c r="K28" s="26" t="s">
        <v>244</v>
      </c>
      <c r="L28" s="26" t="s">
        <v>707</v>
      </c>
      <c r="M28" s="26" t="s">
        <v>708</v>
      </c>
      <c r="O28" s="26" t="s">
        <v>734</v>
      </c>
      <c r="P28" s="26" t="s">
        <v>735</v>
      </c>
      <c r="S28" s="26" t="s">
        <v>713</v>
      </c>
      <c r="T28" s="26">
        <v>184.05</v>
      </c>
      <c r="U28" s="26" t="s">
        <v>217</v>
      </c>
      <c r="V28" s="26" t="s">
        <v>150</v>
      </c>
      <c r="Y28" s="26" t="s">
        <v>714</v>
      </c>
      <c r="Z28" s="26">
        <v>28.52775</v>
      </c>
      <c r="AA28" s="26">
        <v>0</v>
      </c>
      <c r="AB28" s="26">
        <v>0</v>
      </c>
      <c r="AC28" s="26">
        <v>34</v>
      </c>
      <c r="AD28" s="26" t="s">
        <v>715</v>
      </c>
      <c r="AE28" s="26" t="s">
        <v>715</v>
      </c>
      <c r="AF28" s="26" t="s">
        <v>715</v>
      </c>
      <c r="AG28" s="26" t="s">
        <v>716</v>
      </c>
      <c r="AI28" s="26" t="s">
        <v>167</v>
      </c>
      <c r="AJ28" s="26" t="s">
        <v>168</v>
      </c>
      <c r="AK28" s="26" t="s">
        <v>169</v>
      </c>
      <c r="AM28" s="26" t="s">
        <v>718</v>
      </c>
      <c r="AN28" s="26" t="s">
        <v>172</v>
      </c>
      <c r="AO28" s="26" t="s">
        <v>494</v>
      </c>
      <c r="AP28" s="26" t="s">
        <v>162</v>
      </c>
      <c r="AQ28" s="26" t="s">
        <v>719</v>
      </c>
      <c r="AR28" s="26" t="s">
        <v>720</v>
      </c>
      <c r="AS28" s="26" t="s">
        <v>721</v>
      </c>
      <c r="AU28" s="26" t="s">
        <v>722</v>
      </c>
      <c r="AV28" s="26" t="s">
        <v>722</v>
      </c>
      <c r="AX28" s="26" t="s">
        <v>723</v>
      </c>
      <c r="AY28" s="26" t="s">
        <v>179</v>
      </c>
      <c r="BC28" s="26" t="s">
        <v>706</v>
      </c>
      <c r="BD28" s="26" t="s">
        <v>180</v>
      </c>
      <c r="BE28" s="26" t="s">
        <v>181</v>
      </c>
      <c r="BF28" s="26" t="s">
        <v>167</v>
      </c>
      <c r="BH28" s="26" t="s">
        <v>162</v>
      </c>
      <c r="BI28" s="26" t="s">
        <v>182</v>
      </c>
      <c r="BJ28" s="26" t="s">
        <v>724</v>
      </c>
      <c r="BK28" s="26" t="s">
        <v>264</v>
      </c>
      <c r="BL28" s="26" t="s">
        <v>185</v>
      </c>
      <c r="BM28" s="26" t="s">
        <v>186</v>
      </c>
      <c r="BN28" s="26" t="s">
        <v>162</v>
      </c>
      <c r="BP28" s="26">
        <v>0</v>
      </c>
      <c r="BQ28" s="26" t="s">
        <v>494</v>
      </c>
      <c r="BS28" s="26" t="s">
        <v>230</v>
      </c>
      <c r="BT28" s="26" t="s">
        <v>185</v>
      </c>
      <c r="BV28" s="26">
        <v>30.4304</v>
      </c>
      <c r="BW28" s="26">
        <v>0.16</v>
      </c>
      <c r="BZ28" s="26">
        <v>0</v>
      </c>
      <c r="CA28" s="26" t="s">
        <v>189</v>
      </c>
      <c r="CC28" s="26" t="s">
        <v>162</v>
      </c>
      <c r="CD28" s="26">
        <v>0</v>
      </c>
      <c r="CE28" s="26" t="s">
        <v>190</v>
      </c>
      <c r="CF28" s="26" t="s">
        <v>195</v>
      </c>
      <c r="CG28" s="26" t="s">
        <v>736</v>
      </c>
      <c r="CI28" s="26" t="s">
        <v>267</v>
      </c>
      <c r="CJ28" s="26">
        <v>190.19</v>
      </c>
      <c r="CK28" s="26">
        <v>0</v>
      </c>
      <c r="CL28" s="26">
        <v>9.51</v>
      </c>
      <c r="CM28" s="26">
        <v>45.99</v>
      </c>
      <c r="CQ28" s="26" t="s">
        <v>437</v>
      </c>
      <c r="CR28" s="26" t="s">
        <v>726</v>
      </c>
      <c r="CS28" s="26" t="s">
        <v>727</v>
      </c>
      <c r="CW28" s="26" t="s">
        <v>728</v>
      </c>
      <c r="CX28" s="26" t="s">
        <v>195</v>
      </c>
      <c r="CY28" s="26" t="s">
        <v>196</v>
      </c>
      <c r="CZ28" s="26">
        <v>0</v>
      </c>
      <c r="DB28" s="26">
        <v>0</v>
      </c>
      <c r="DK28" s="26" t="s">
        <v>150</v>
      </c>
      <c r="DL28" s="26" t="s">
        <v>729</v>
      </c>
      <c r="DM28" s="26" t="s">
        <v>730</v>
      </c>
      <c r="DN28" s="26" t="s">
        <v>731</v>
      </c>
      <c r="DO28" s="26" t="s">
        <v>703</v>
      </c>
      <c r="DP28" s="26" t="s">
        <v>732</v>
      </c>
      <c r="DR28" s="26" t="s">
        <v>189</v>
      </c>
      <c r="DS28" s="26" t="s">
        <v>189</v>
      </c>
      <c r="DT28" s="26" t="s">
        <v>189</v>
      </c>
      <c r="DU28" s="26" t="s">
        <v>189</v>
      </c>
      <c r="DV28" s="26" t="s">
        <v>203</v>
      </c>
      <c r="DW28" s="26" t="s">
        <v>162</v>
      </c>
      <c r="DX28" s="26" t="s">
        <v>162</v>
      </c>
      <c r="DY28" s="26">
        <v>0</v>
      </c>
      <c r="DZ28" s="26" t="s">
        <v>150</v>
      </c>
      <c r="EH28" s="26" t="s">
        <v>189</v>
      </c>
      <c r="EI28" s="26">
        <v>0.16</v>
      </c>
      <c r="EJ28" s="26">
        <v>30.4304</v>
      </c>
      <c r="EK28" s="26">
        <v>45.99</v>
      </c>
      <c r="EL28" s="26" t="s">
        <v>737</v>
      </c>
      <c r="EM28" s="26" t="s">
        <v>206</v>
      </c>
      <c r="EN28" s="26" t="s">
        <v>207</v>
      </c>
    </row>
    <row r="29" spans="1:144">
      <c r="A29" s="26" t="s">
        <v>145</v>
      </c>
      <c r="B29" s="26" t="s">
        <v>395</v>
      </c>
      <c r="C29" s="26" t="s">
        <v>738</v>
      </c>
      <c r="D29" s="26" t="s">
        <v>148</v>
      </c>
      <c r="E29" s="26" t="s">
        <v>149</v>
      </c>
      <c r="G29" s="26" t="s">
        <v>151</v>
      </c>
      <c r="H29" s="26" t="s">
        <v>152</v>
      </c>
      <c r="I29" s="26" t="s">
        <v>153</v>
      </c>
      <c r="J29" s="26" t="s">
        <v>154</v>
      </c>
      <c r="K29" s="26" t="s">
        <v>244</v>
      </c>
      <c r="L29" s="26" t="s">
        <v>245</v>
      </c>
      <c r="M29" s="26" t="s">
        <v>739</v>
      </c>
      <c r="N29" s="26" t="s">
        <v>740</v>
      </c>
      <c r="O29" s="26" t="s">
        <v>741</v>
      </c>
      <c r="P29" s="26" t="s">
        <v>742</v>
      </c>
      <c r="Q29" s="26" t="s">
        <v>743</v>
      </c>
      <c r="R29" s="26">
        <v>178.733</v>
      </c>
      <c r="S29" s="26" t="s">
        <v>413</v>
      </c>
      <c r="T29" s="26">
        <v>172.598</v>
      </c>
      <c r="U29" s="26" t="s">
        <v>217</v>
      </c>
      <c r="V29" s="26" t="s">
        <v>150</v>
      </c>
      <c r="Y29" s="26" t="s">
        <v>744</v>
      </c>
      <c r="Z29" s="26">
        <v>26.80995</v>
      </c>
      <c r="AA29" s="26">
        <v>0</v>
      </c>
      <c r="AB29" s="26">
        <v>0</v>
      </c>
      <c r="AC29" s="26">
        <v>29</v>
      </c>
      <c r="AD29" s="26" t="s">
        <v>745</v>
      </c>
      <c r="AE29" s="26" t="s">
        <v>745</v>
      </c>
      <c r="AF29" s="26" t="s">
        <v>745</v>
      </c>
      <c r="AG29" s="26" t="s">
        <v>746</v>
      </c>
      <c r="AI29" s="26" t="s">
        <v>167</v>
      </c>
      <c r="AJ29" s="26" t="s">
        <v>168</v>
      </c>
      <c r="AK29" s="26" t="s">
        <v>169</v>
      </c>
      <c r="AL29" s="26" t="s">
        <v>747</v>
      </c>
      <c r="AM29" s="26" t="s">
        <v>748</v>
      </c>
      <c r="AN29" s="26" t="s">
        <v>172</v>
      </c>
      <c r="AO29" s="26" t="s">
        <v>385</v>
      </c>
      <c r="AP29" s="26" t="s">
        <v>162</v>
      </c>
      <c r="AQ29" s="26" t="s">
        <v>749</v>
      </c>
      <c r="AR29" s="26" t="s">
        <v>750</v>
      </c>
      <c r="AS29" s="26" t="s">
        <v>751</v>
      </c>
      <c r="AU29" s="26" t="s">
        <v>752</v>
      </c>
      <c r="AV29" s="26" t="s">
        <v>752</v>
      </c>
      <c r="AX29" s="26" t="s">
        <v>753</v>
      </c>
      <c r="AY29" s="26" t="s">
        <v>179</v>
      </c>
      <c r="BC29" s="26" t="s">
        <v>738</v>
      </c>
      <c r="BD29" s="26" t="s">
        <v>180</v>
      </c>
      <c r="BE29" s="26" t="s">
        <v>181</v>
      </c>
      <c r="BF29" s="26" t="s">
        <v>167</v>
      </c>
      <c r="BH29" s="26" t="s">
        <v>162</v>
      </c>
      <c r="BI29" s="26" t="s">
        <v>182</v>
      </c>
      <c r="BJ29" s="26" t="s">
        <v>754</v>
      </c>
      <c r="BK29" s="26" t="s">
        <v>184</v>
      </c>
      <c r="BL29" s="26" t="s">
        <v>185</v>
      </c>
      <c r="BM29" s="26" t="s">
        <v>186</v>
      </c>
      <c r="BN29" s="26" t="s">
        <v>162</v>
      </c>
      <c r="BP29" s="26">
        <v>0</v>
      </c>
      <c r="BR29" s="26" t="s">
        <v>385</v>
      </c>
      <c r="BS29" s="26" t="s">
        <v>354</v>
      </c>
      <c r="BT29" s="26" t="s">
        <v>185</v>
      </c>
      <c r="BV29" s="26">
        <v>28.5968</v>
      </c>
      <c r="BW29" s="26">
        <v>0.16</v>
      </c>
      <c r="BZ29" s="26">
        <v>0</v>
      </c>
      <c r="CA29" s="26" t="s">
        <v>189</v>
      </c>
      <c r="CC29" s="26" t="s">
        <v>162</v>
      </c>
      <c r="CD29" s="26">
        <v>0</v>
      </c>
      <c r="CE29" s="26" t="s">
        <v>190</v>
      </c>
      <c r="CF29" s="26" t="s">
        <v>167</v>
      </c>
      <c r="CG29" s="26" t="s">
        <v>755</v>
      </c>
      <c r="CI29" s="26" t="s">
        <v>267</v>
      </c>
      <c r="CJ29" s="26">
        <v>178.73</v>
      </c>
      <c r="CK29" s="26">
        <v>0</v>
      </c>
      <c r="CL29" s="26">
        <v>8.94</v>
      </c>
      <c r="CM29" s="26">
        <v>34.04</v>
      </c>
      <c r="CQ29" s="26" t="s">
        <v>605</v>
      </c>
      <c r="CR29" s="26" t="s">
        <v>756</v>
      </c>
      <c r="CS29" s="26" t="s">
        <v>757</v>
      </c>
      <c r="CW29" s="26" t="s">
        <v>758</v>
      </c>
      <c r="CX29" s="26" t="s">
        <v>195</v>
      </c>
      <c r="CY29" s="26" t="s">
        <v>196</v>
      </c>
      <c r="CZ29" s="26">
        <v>0</v>
      </c>
      <c r="DB29" s="26">
        <v>0</v>
      </c>
      <c r="DK29" s="26" t="s">
        <v>150</v>
      </c>
      <c r="DL29" s="26" t="s">
        <v>729</v>
      </c>
      <c r="DM29" s="26" t="s">
        <v>759</v>
      </c>
      <c r="DN29" s="26" t="s">
        <v>760</v>
      </c>
      <c r="DO29" s="26" t="s">
        <v>703</v>
      </c>
      <c r="DP29" s="26" t="s">
        <v>761</v>
      </c>
      <c r="DR29" s="26" t="s">
        <v>189</v>
      </c>
      <c r="DS29" s="26" t="s">
        <v>189</v>
      </c>
      <c r="DT29" s="26" t="s">
        <v>189</v>
      </c>
      <c r="DU29" s="26" t="s">
        <v>189</v>
      </c>
      <c r="DV29" s="26" t="s">
        <v>203</v>
      </c>
      <c r="DW29" s="26" t="s">
        <v>162</v>
      </c>
      <c r="DX29" s="26" t="s">
        <v>162</v>
      </c>
      <c r="DY29" s="26">
        <v>0</v>
      </c>
      <c r="DZ29" s="26" t="s">
        <v>150</v>
      </c>
      <c r="EH29" s="26" t="s">
        <v>189</v>
      </c>
      <c r="EI29" s="26">
        <v>0.16</v>
      </c>
      <c r="EJ29" s="26">
        <v>28.5968</v>
      </c>
      <c r="EK29" s="26">
        <v>34.04</v>
      </c>
      <c r="EL29" s="26" t="s">
        <v>762</v>
      </c>
      <c r="EM29" s="26" t="s">
        <v>206</v>
      </c>
      <c r="EN29" s="26" t="s">
        <v>207</v>
      </c>
    </row>
    <row r="30" spans="1:144">
      <c r="A30" s="26" t="s">
        <v>145</v>
      </c>
      <c r="B30" s="26" t="s">
        <v>763</v>
      </c>
      <c r="C30" s="26" t="s">
        <v>764</v>
      </c>
      <c r="D30" s="26" t="s">
        <v>148</v>
      </c>
      <c r="E30" s="26" t="s">
        <v>149</v>
      </c>
      <c r="G30" s="26" t="s">
        <v>151</v>
      </c>
      <c r="H30" s="26" t="s">
        <v>152</v>
      </c>
      <c r="I30" s="26" t="s">
        <v>153</v>
      </c>
      <c r="J30" s="26" t="s">
        <v>154</v>
      </c>
      <c r="K30" s="26" t="s">
        <v>244</v>
      </c>
      <c r="L30" s="26" t="s">
        <v>765</v>
      </c>
      <c r="M30" s="26" t="s">
        <v>766</v>
      </c>
      <c r="N30" s="26" t="s">
        <v>767</v>
      </c>
      <c r="O30" s="26" t="s">
        <v>768</v>
      </c>
      <c r="P30" s="26" t="s">
        <v>769</v>
      </c>
      <c r="Q30" s="26" t="s">
        <v>770</v>
      </c>
      <c r="R30" s="26">
        <v>143.7842</v>
      </c>
      <c r="S30" s="26" t="s">
        <v>771</v>
      </c>
      <c r="T30" s="26">
        <v>137.62202</v>
      </c>
      <c r="U30" s="26" t="s">
        <v>162</v>
      </c>
      <c r="V30" s="26" t="s">
        <v>150</v>
      </c>
      <c r="Y30" s="26" t="s">
        <v>772</v>
      </c>
      <c r="Z30" s="26">
        <v>21.56763</v>
      </c>
      <c r="AA30" s="26">
        <v>0</v>
      </c>
      <c r="AB30" s="26">
        <v>0</v>
      </c>
      <c r="AC30" s="26">
        <v>25</v>
      </c>
      <c r="AD30" s="26" t="s">
        <v>773</v>
      </c>
      <c r="AE30" s="26" t="s">
        <v>773</v>
      </c>
      <c r="AF30" s="26">
        <v>25</v>
      </c>
      <c r="AG30" s="26" t="s">
        <v>162</v>
      </c>
      <c r="AI30" s="26" t="s">
        <v>167</v>
      </c>
      <c r="AJ30" s="26" t="s">
        <v>774</v>
      </c>
      <c r="AK30" s="26" t="s">
        <v>150</v>
      </c>
      <c r="AL30" s="26" t="s">
        <v>162</v>
      </c>
      <c r="AM30" s="26" t="s">
        <v>775</v>
      </c>
      <c r="AN30" s="26" t="s">
        <v>172</v>
      </c>
      <c r="AO30" s="26" t="s">
        <v>776</v>
      </c>
      <c r="AP30" s="26" t="s">
        <v>162</v>
      </c>
      <c r="AQ30" s="26" t="s">
        <v>777</v>
      </c>
      <c r="AS30" s="26" t="s">
        <v>381</v>
      </c>
      <c r="AX30" s="26" t="s">
        <v>778</v>
      </c>
      <c r="AY30" s="26" t="s">
        <v>779</v>
      </c>
      <c r="BC30" s="26" t="s">
        <v>764</v>
      </c>
      <c r="BD30" s="26" t="s">
        <v>180</v>
      </c>
      <c r="BE30" s="26" t="s">
        <v>181</v>
      </c>
      <c r="BF30" s="26" t="s">
        <v>167</v>
      </c>
      <c r="BH30" s="26" t="s">
        <v>162</v>
      </c>
      <c r="BI30" s="26" t="s">
        <v>780</v>
      </c>
      <c r="BK30" s="26" t="s">
        <v>184</v>
      </c>
      <c r="BL30" s="26" t="s">
        <v>185</v>
      </c>
      <c r="BM30" s="26" t="s">
        <v>186</v>
      </c>
      <c r="BN30" s="26" t="s">
        <v>162</v>
      </c>
      <c r="BP30" s="26">
        <v>15</v>
      </c>
      <c r="BQ30" s="26" t="s">
        <v>776</v>
      </c>
      <c r="BS30" s="26" t="s">
        <v>354</v>
      </c>
      <c r="BT30" s="26" t="s">
        <v>185</v>
      </c>
      <c r="BV30" s="26">
        <v>23.0048</v>
      </c>
      <c r="BW30" s="26">
        <v>0.16</v>
      </c>
      <c r="BZ30" s="26" t="s">
        <v>167</v>
      </c>
      <c r="CA30" s="26" t="s">
        <v>189</v>
      </c>
      <c r="CC30" s="26" t="s">
        <v>162</v>
      </c>
      <c r="CD30" s="26">
        <v>0</v>
      </c>
      <c r="CE30" s="26" t="s">
        <v>190</v>
      </c>
      <c r="CF30" s="26" t="s">
        <v>167</v>
      </c>
      <c r="CG30" s="26" t="s">
        <v>781</v>
      </c>
      <c r="CI30" s="26" t="s">
        <v>267</v>
      </c>
      <c r="CJ30" s="26">
        <v>143.78</v>
      </c>
      <c r="CK30" s="26">
        <v>0</v>
      </c>
      <c r="CL30" s="26">
        <v>7.19</v>
      </c>
      <c r="CM30" s="26">
        <v>66.32</v>
      </c>
      <c r="CQ30" s="26" t="s">
        <v>233</v>
      </c>
      <c r="CR30" s="26" t="s">
        <v>782</v>
      </c>
      <c r="CS30" s="26" t="s">
        <v>783</v>
      </c>
      <c r="CW30" s="26" t="s">
        <v>784</v>
      </c>
      <c r="CX30" s="26" t="s">
        <v>162</v>
      </c>
      <c r="CY30" s="26" t="s">
        <v>196</v>
      </c>
      <c r="CZ30" s="26">
        <v>0</v>
      </c>
      <c r="DB30" s="26">
        <v>0</v>
      </c>
      <c r="DK30" s="26" t="s">
        <v>150</v>
      </c>
      <c r="DL30" s="26" t="s">
        <v>785</v>
      </c>
      <c r="DM30" s="26" t="s">
        <v>786</v>
      </c>
      <c r="DR30" s="26" t="s">
        <v>189</v>
      </c>
      <c r="DS30" s="26" t="s">
        <v>189</v>
      </c>
      <c r="DT30" s="26" t="s">
        <v>189</v>
      </c>
      <c r="DU30" s="26" t="s">
        <v>189</v>
      </c>
      <c r="DV30" s="26" t="s">
        <v>203</v>
      </c>
      <c r="DW30" s="26" t="s">
        <v>162</v>
      </c>
      <c r="DX30" s="26" t="s">
        <v>162</v>
      </c>
      <c r="DY30" s="26">
        <v>0</v>
      </c>
      <c r="DZ30" s="26" t="s">
        <v>150</v>
      </c>
      <c r="EH30" s="26" t="s">
        <v>189</v>
      </c>
      <c r="EI30" s="26">
        <v>0.16</v>
      </c>
      <c r="EJ30" s="26">
        <v>23.0048</v>
      </c>
      <c r="EK30" s="26">
        <v>66.32</v>
      </c>
      <c r="EL30" s="26" t="s">
        <v>787</v>
      </c>
      <c r="EM30" s="26" t="s">
        <v>206</v>
      </c>
      <c r="EN30" s="26" t="s">
        <v>207</v>
      </c>
    </row>
    <row r="31" spans="1:144">
      <c r="A31" s="26" t="s">
        <v>145</v>
      </c>
      <c r="B31" s="26" t="s">
        <v>395</v>
      </c>
      <c r="C31" s="26" t="s">
        <v>788</v>
      </c>
      <c r="D31" s="26" t="s">
        <v>148</v>
      </c>
      <c r="E31" s="26" t="s">
        <v>149</v>
      </c>
      <c r="G31" s="26" t="s">
        <v>151</v>
      </c>
      <c r="H31" s="26" t="s">
        <v>152</v>
      </c>
      <c r="I31" s="26" t="s">
        <v>153</v>
      </c>
      <c r="J31" s="26" t="s">
        <v>154</v>
      </c>
      <c r="K31" s="26" t="s">
        <v>244</v>
      </c>
      <c r="L31" s="26" t="s">
        <v>245</v>
      </c>
      <c r="M31" s="26" t="s">
        <v>789</v>
      </c>
      <c r="N31" s="26" t="s">
        <v>790</v>
      </c>
      <c r="O31" s="26" t="s">
        <v>791</v>
      </c>
      <c r="P31" s="26" t="s">
        <v>792</v>
      </c>
      <c r="Q31" s="26" t="s">
        <v>793</v>
      </c>
      <c r="R31" s="26">
        <v>145.604</v>
      </c>
      <c r="S31" s="26" t="s">
        <v>794</v>
      </c>
      <c r="T31" s="26">
        <v>139.469</v>
      </c>
      <c r="U31" s="26" t="s">
        <v>217</v>
      </c>
      <c r="V31" s="26" t="s">
        <v>150</v>
      </c>
      <c r="Y31" s="26" t="s">
        <v>795</v>
      </c>
      <c r="Z31" s="26">
        <v>21.8406</v>
      </c>
      <c r="AA31" s="26">
        <v>0</v>
      </c>
      <c r="AB31" s="26">
        <v>0</v>
      </c>
      <c r="AC31" s="26">
        <v>22</v>
      </c>
      <c r="AD31" s="26" t="s">
        <v>594</v>
      </c>
      <c r="AE31" s="26" t="s">
        <v>594</v>
      </c>
      <c r="AF31" s="26" t="s">
        <v>594</v>
      </c>
      <c r="AG31" s="26" t="s">
        <v>796</v>
      </c>
      <c r="AI31" s="26" t="s">
        <v>167</v>
      </c>
      <c r="AJ31" s="26" t="s">
        <v>797</v>
      </c>
      <c r="AK31" s="26" t="s">
        <v>798</v>
      </c>
      <c r="AL31" s="26" t="s">
        <v>799</v>
      </c>
      <c r="AM31" s="26" t="s">
        <v>800</v>
      </c>
      <c r="AN31" s="26" t="s">
        <v>172</v>
      </c>
      <c r="AO31" s="26" t="s">
        <v>801</v>
      </c>
      <c r="AP31" s="26" t="s">
        <v>162</v>
      </c>
      <c r="AQ31" s="26" t="s">
        <v>802</v>
      </c>
      <c r="AR31" s="26" t="s">
        <v>803</v>
      </c>
      <c r="AS31" s="26" t="s">
        <v>804</v>
      </c>
      <c r="AU31" s="26" t="s">
        <v>805</v>
      </c>
      <c r="AV31" s="26" t="s">
        <v>150</v>
      </c>
      <c r="AX31" s="26" t="s">
        <v>806</v>
      </c>
      <c r="AY31" s="26" t="s">
        <v>179</v>
      </c>
      <c r="BC31" s="26" t="s">
        <v>788</v>
      </c>
      <c r="BD31" s="26" t="s">
        <v>180</v>
      </c>
      <c r="BE31" s="26" t="s">
        <v>181</v>
      </c>
      <c r="BF31" s="26" t="s">
        <v>167</v>
      </c>
      <c r="BH31" s="26" t="s">
        <v>162</v>
      </c>
      <c r="BI31" s="26" t="s">
        <v>807</v>
      </c>
      <c r="BJ31" s="26" t="s">
        <v>154</v>
      </c>
      <c r="BK31" s="26" t="s">
        <v>184</v>
      </c>
      <c r="BL31" s="26" t="s">
        <v>185</v>
      </c>
      <c r="BM31" s="26" t="s">
        <v>186</v>
      </c>
      <c r="BN31" s="26" t="s">
        <v>162</v>
      </c>
      <c r="BP31" s="26">
        <v>0</v>
      </c>
      <c r="BR31" s="26" t="s">
        <v>801</v>
      </c>
      <c r="BS31" s="26" t="s">
        <v>354</v>
      </c>
      <c r="BT31" s="26" t="s">
        <v>185</v>
      </c>
      <c r="BV31" s="26">
        <v>23.296</v>
      </c>
      <c r="BW31" s="26">
        <v>0.16</v>
      </c>
      <c r="BZ31" s="26">
        <v>0</v>
      </c>
      <c r="CA31" s="26" t="s">
        <v>189</v>
      </c>
      <c r="CC31" s="26" t="s">
        <v>162</v>
      </c>
      <c r="CD31" s="26">
        <v>0</v>
      </c>
      <c r="CE31" s="26" t="s">
        <v>190</v>
      </c>
      <c r="CF31" s="26" t="s">
        <v>167</v>
      </c>
      <c r="CG31" s="26" t="s">
        <v>808</v>
      </c>
      <c r="CI31" s="26" t="s">
        <v>267</v>
      </c>
      <c r="CJ31" s="26">
        <v>145.6</v>
      </c>
      <c r="CK31" s="26">
        <v>0</v>
      </c>
      <c r="CL31" s="26">
        <v>7.28</v>
      </c>
      <c r="CM31" s="26">
        <v>26.6</v>
      </c>
      <c r="CQ31" s="26" t="s">
        <v>233</v>
      </c>
      <c r="CR31" s="26" t="s">
        <v>809</v>
      </c>
      <c r="CS31" s="26" t="s">
        <v>810</v>
      </c>
      <c r="CW31" s="26" t="s">
        <v>811</v>
      </c>
      <c r="CX31" s="26" t="s">
        <v>162</v>
      </c>
      <c r="CY31" s="26" t="s">
        <v>196</v>
      </c>
      <c r="CZ31" s="26">
        <v>0</v>
      </c>
      <c r="DB31" s="26">
        <v>0</v>
      </c>
      <c r="DK31" s="26" t="s">
        <v>150</v>
      </c>
      <c r="DL31" s="26" t="s">
        <v>198</v>
      </c>
      <c r="DM31" s="26" t="s">
        <v>812</v>
      </c>
      <c r="DN31" s="26" t="s">
        <v>813</v>
      </c>
      <c r="DO31" s="26" t="s">
        <v>814</v>
      </c>
      <c r="DP31" s="26" t="s">
        <v>815</v>
      </c>
      <c r="DR31" s="26" t="s">
        <v>189</v>
      </c>
      <c r="DS31" s="26" t="s">
        <v>189</v>
      </c>
      <c r="DT31" s="26" t="s">
        <v>189</v>
      </c>
      <c r="DU31" s="26" t="s">
        <v>189</v>
      </c>
      <c r="DV31" s="26" t="s">
        <v>203</v>
      </c>
      <c r="DW31" s="26" t="s">
        <v>162</v>
      </c>
      <c r="DX31" s="26" t="s">
        <v>162</v>
      </c>
      <c r="DY31" s="26">
        <v>0</v>
      </c>
      <c r="DZ31" s="26" t="s">
        <v>150</v>
      </c>
      <c r="EH31" s="26" t="s">
        <v>189</v>
      </c>
      <c r="EI31" s="26">
        <v>0.16</v>
      </c>
      <c r="EJ31" s="26">
        <v>23.296</v>
      </c>
      <c r="EK31" s="26">
        <v>26.6</v>
      </c>
      <c r="EL31" s="26" t="s">
        <v>816</v>
      </c>
      <c r="EM31" s="26" t="s">
        <v>206</v>
      </c>
      <c r="EN31" s="26" t="s">
        <v>207</v>
      </c>
    </row>
    <row r="32" spans="1:144">
      <c r="A32" s="26" t="s">
        <v>145</v>
      </c>
      <c r="B32" s="26" t="s">
        <v>395</v>
      </c>
      <c r="C32" s="26" t="s">
        <v>817</v>
      </c>
      <c r="D32" s="26" t="s">
        <v>148</v>
      </c>
      <c r="E32" s="26" t="s">
        <v>149</v>
      </c>
      <c r="G32" s="26" t="s">
        <v>151</v>
      </c>
      <c r="H32" s="26" t="s">
        <v>152</v>
      </c>
      <c r="I32" s="26" t="s">
        <v>153</v>
      </c>
      <c r="J32" s="26" t="s">
        <v>154</v>
      </c>
      <c r="K32" s="26" t="s">
        <v>244</v>
      </c>
      <c r="L32" s="26" t="s">
        <v>366</v>
      </c>
      <c r="M32" s="26" t="s">
        <v>818</v>
      </c>
      <c r="N32" s="26" t="s">
        <v>819</v>
      </c>
      <c r="O32" s="26" t="s">
        <v>820</v>
      </c>
      <c r="P32" s="26" t="s">
        <v>821</v>
      </c>
      <c r="Q32" s="26" t="s">
        <v>822</v>
      </c>
      <c r="R32" s="26">
        <v>289.572</v>
      </c>
      <c r="S32" s="26" t="s">
        <v>823</v>
      </c>
      <c r="T32" s="26">
        <v>283.437</v>
      </c>
      <c r="U32" s="26" t="s">
        <v>217</v>
      </c>
      <c r="V32" s="26" t="s">
        <v>150</v>
      </c>
      <c r="Y32" s="26" t="s">
        <v>824</v>
      </c>
      <c r="Z32" s="26">
        <v>43.4358</v>
      </c>
      <c r="AA32" s="26">
        <v>0</v>
      </c>
      <c r="AB32" s="26">
        <v>0</v>
      </c>
      <c r="AC32" s="26">
        <v>57</v>
      </c>
      <c r="AD32" s="26" t="s">
        <v>825</v>
      </c>
      <c r="AE32" s="26" t="s">
        <v>825</v>
      </c>
      <c r="AF32" s="26" t="s">
        <v>825</v>
      </c>
      <c r="AG32" s="26" t="s">
        <v>826</v>
      </c>
      <c r="AI32" s="26" t="s">
        <v>167</v>
      </c>
      <c r="AJ32" s="26" t="s">
        <v>168</v>
      </c>
      <c r="AK32" s="26" t="s">
        <v>169</v>
      </c>
      <c r="AL32" s="26" t="s">
        <v>827</v>
      </c>
      <c r="AM32" s="26" t="s">
        <v>828</v>
      </c>
      <c r="AN32" s="26" t="s">
        <v>172</v>
      </c>
      <c r="AO32" s="26" t="s">
        <v>571</v>
      </c>
      <c r="AP32" s="26" t="s">
        <v>167</v>
      </c>
      <c r="AQ32" s="26" t="s">
        <v>829</v>
      </c>
      <c r="AR32" s="26" t="s">
        <v>830</v>
      </c>
      <c r="AS32" s="26" t="s">
        <v>462</v>
      </c>
      <c r="AU32" s="26" t="s">
        <v>831</v>
      </c>
      <c r="AV32" s="26" t="s">
        <v>831</v>
      </c>
      <c r="AX32" s="26" t="s">
        <v>832</v>
      </c>
      <c r="AY32" s="26" t="s">
        <v>179</v>
      </c>
      <c r="BC32" s="26" t="s">
        <v>817</v>
      </c>
      <c r="BD32" s="26" t="s">
        <v>180</v>
      </c>
      <c r="BE32" s="26" t="s">
        <v>181</v>
      </c>
      <c r="BF32" s="26" t="s">
        <v>167</v>
      </c>
      <c r="BH32" s="26" t="s">
        <v>162</v>
      </c>
      <c r="BI32" s="26" t="s">
        <v>182</v>
      </c>
      <c r="BJ32" s="26" t="s">
        <v>833</v>
      </c>
      <c r="BK32" s="26" t="s">
        <v>184</v>
      </c>
      <c r="BL32" s="26" t="s">
        <v>185</v>
      </c>
      <c r="BM32" s="26" t="s">
        <v>186</v>
      </c>
      <c r="BN32" s="26" t="s">
        <v>162</v>
      </c>
      <c r="BP32" s="26">
        <v>0</v>
      </c>
      <c r="BQ32" s="26" t="s">
        <v>466</v>
      </c>
      <c r="BS32" s="26" t="s">
        <v>230</v>
      </c>
      <c r="BT32" s="26" t="s">
        <v>185</v>
      </c>
      <c r="BV32" s="26">
        <v>46.3312</v>
      </c>
      <c r="BW32" s="26">
        <v>0.16</v>
      </c>
      <c r="BZ32" s="26">
        <v>0</v>
      </c>
      <c r="CA32" s="26" t="s">
        <v>189</v>
      </c>
      <c r="CC32" s="26" t="s">
        <v>162</v>
      </c>
      <c r="CD32" s="26">
        <v>0</v>
      </c>
      <c r="CE32" s="26" t="s">
        <v>190</v>
      </c>
      <c r="CF32" s="26" t="s">
        <v>167</v>
      </c>
      <c r="CG32" s="26" t="s">
        <v>834</v>
      </c>
      <c r="CI32" s="26" t="s">
        <v>267</v>
      </c>
      <c r="CJ32" s="26">
        <v>289.57</v>
      </c>
      <c r="CK32" s="26">
        <v>0</v>
      </c>
      <c r="CL32" s="26">
        <v>14.48</v>
      </c>
      <c r="CM32" s="26">
        <v>39.2</v>
      </c>
      <c r="CQ32" s="26" t="s">
        <v>192</v>
      </c>
      <c r="CR32" s="26" t="s">
        <v>835</v>
      </c>
      <c r="CS32" s="26" t="s">
        <v>836</v>
      </c>
      <c r="CW32" s="26" t="s">
        <v>837</v>
      </c>
      <c r="CX32" s="26" t="s">
        <v>167</v>
      </c>
      <c r="CY32" s="26" t="s">
        <v>196</v>
      </c>
      <c r="CZ32" s="26">
        <v>0</v>
      </c>
      <c r="DB32" s="26">
        <v>0</v>
      </c>
      <c r="DK32" s="26" t="s">
        <v>150</v>
      </c>
      <c r="DL32" s="26" t="s">
        <v>838</v>
      </c>
      <c r="DM32" s="26" t="s">
        <v>839</v>
      </c>
      <c r="DN32" s="26" t="s">
        <v>840</v>
      </c>
      <c r="DO32" s="26" t="s">
        <v>841</v>
      </c>
      <c r="DP32" s="26" t="s">
        <v>842</v>
      </c>
      <c r="DR32" s="26" t="s">
        <v>189</v>
      </c>
      <c r="DS32" s="26" t="s">
        <v>189</v>
      </c>
      <c r="DT32" s="26" t="s">
        <v>189</v>
      </c>
      <c r="DU32" s="26" t="s">
        <v>189</v>
      </c>
      <c r="DV32" s="26" t="s">
        <v>203</v>
      </c>
      <c r="DW32" s="26" t="s">
        <v>162</v>
      </c>
      <c r="DX32" s="26" t="s">
        <v>162</v>
      </c>
      <c r="DY32" s="26">
        <v>0</v>
      </c>
      <c r="DZ32" s="26" t="s">
        <v>150</v>
      </c>
      <c r="EH32" s="26" t="s">
        <v>189</v>
      </c>
      <c r="EI32" s="26">
        <v>0.16</v>
      </c>
      <c r="EJ32" s="26">
        <v>46.3312</v>
      </c>
      <c r="EK32" s="26">
        <v>39.2</v>
      </c>
      <c r="EL32" s="26" t="s">
        <v>843</v>
      </c>
      <c r="EM32" s="26" t="s">
        <v>206</v>
      </c>
      <c r="EN32" s="26" t="s">
        <v>207</v>
      </c>
    </row>
    <row r="33" spans="1:144">
      <c r="A33" s="26" t="s">
        <v>145</v>
      </c>
      <c r="B33" s="26" t="s">
        <v>395</v>
      </c>
      <c r="C33" s="26" t="s">
        <v>844</v>
      </c>
      <c r="D33" s="26" t="s">
        <v>148</v>
      </c>
      <c r="E33" s="26" t="s">
        <v>149</v>
      </c>
      <c r="F33" s="26" t="s">
        <v>150</v>
      </c>
      <c r="G33" s="26" t="s">
        <v>151</v>
      </c>
      <c r="H33" s="26" t="s">
        <v>152</v>
      </c>
      <c r="I33" s="26" t="s">
        <v>153</v>
      </c>
      <c r="J33" s="26" t="s">
        <v>154</v>
      </c>
      <c r="K33" s="26" t="s">
        <v>244</v>
      </c>
      <c r="L33" s="26" t="s">
        <v>245</v>
      </c>
      <c r="M33" s="26" t="s">
        <v>845</v>
      </c>
      <c r="N33" s="26" t="s">
        <v>846</v>
      </c>
      <c r="O33" s="26" t="s">
        <v>847</v>
      </c>
      <c r="P33" s="26" t="s">
        <v>848</v>
      </c>
      <c r="Q33" s="26" t="s">
        <v>849</v>
      </c>
      <c r="R33" s="26">
        <v>538.653</v>
      </c>
      <c r="S33" s="26" t="s">
        <v>850</v>
      </c>
      <c r="T33" s="26">
        <v>167.281</v>
      </c>
      <c r="U33" s="26" t="s">
        <v>217</v>
      </c>
      <c r="V33" s="26" t="s">
        <v>150</v>
      </c>
      <c r="Y33" s="26" t="s">
        <v>851</v>
      </c>
      <c r="Z33" s="26">
        <v>26.93265</v>
      </c>
      <c r="AA33" s="26">
        <v>0</v>
      </c>
      <c r="AB33" s="26">
        <v>0</v>
      </c>
      <c r="AC33" s="26">
        <v>31</v>
      </c>
      <c r="AD33" s="26" t="s">
        <v>852</v>
      </c>
      <c r="AE33" s="26" t="s">
        <v>852</v>
      </c>
      <c r="AF33" s="26" t="s">
        <v>852</v>
      </c>
      <c r="AG33" s="26" t="s">
        <v>853</v>
      </c>
      <c r="AI33" s="26" t="s">
        <v>167</v>
      </c>
      <c r="AJ33" s="26" t="s">
        <v>168</v>
      </c>
      <c r="AK33" s="26" t="s">
        <v>169</v>
      </c>
      <c r="AL33" s="26" t="s">
        <v>854</v>
      </c>
      <c r="AM33" s="26" t="s">
        <v>855</v>
      </c>
      <c r="AN33" s="26" t="s">
        <v>172</v>
      </c>
      <c r="AO33" s="26" t="s">
        <v>856</v>
      </c>
      <c r="AP33" s="26" t="s">
        <v>162</v>
      </c>
      <c r="AQ33" s="26" t="s">
        <v>857</v>
      </c>
      <c r="AR33" s="26" t="s">
        <v>858</v>
      </c>
      <c r="AS33" s="26" t="s">
        <v>859</v>
      </c>
      <c r="AU33" s="26" t="s">
        <v>860</v>
      </c>
      <c r="AV33" s="26" t="s">
        <v>860</v>
      </c>
      <c r="AX33" s="26" t="s">
        <v>861</v>
      </c>
      <c r="AY33" s="26" t="s">
        <v>179</v>
      </c>
      <c r="BC33" s="26" t="s">
        <v>844</v>
      </c>
      <c r="BD33" s="26" t="s">
        <v>180</v>
      </c>
      <c r="BE33" s="26" t="s">
        <v>181</v>
      </c>
      <c r="BF33" s="26" t="s">
        <v>167</v>
      </c>
      <c r="BH33" s="26" t="s">
        <v>162</v>
      </c>
      <c r="BI33" s="26" t="s">
        <v>182</v>
      </c>
      <c r="BJ33" s="26" t="s">
        <v>862</v>
      </c>
      <c r="BK33" s="26" t="s">
        <v>302</v>
      </c>
      <c r="BL33" s="26" t="s">
        <v>185</v>
      </c>
      <c r="BM33" s="26" t="s">
        <v>186</v>
      </c>
      <c r="BN33" s="26" t="s">
        <v>162</v>
      </c>
      <c r="BP33" s="26">
        <v>0</v>
      </c>
      <c r="BQ33" s="26" t="s">
        <v>776</v>
      </c>
      <c r="BS33" s="26" t="s">
        <v>230</v>
      </c>
      <c r="BT33" s="26" t="s">
        <v>185</v>
      </c>
      <c r="BV33" s="26">
        <v>27.7472</v>
      </c>
      <c r="BW33" s="26">
        <v>0.16</v>
      </c>
      <c r="BZ33" s="26">
        <v>0</v>
      </c>
      <c r="CA33" s="26" t="s">
        <v>189</v>
      </c>
      <c r="CC33" s="26" t="s">
        <v>162</v>
      </c>
      <c r="CD33" s="26">
        <v>0</v>
      </c>
      <c r="CE33" s="26" t="s">
        <v>190</v>
      </c>
      <c r="CF33" s="26" t="s">
        <v>305</v>
      </c>
      <c r="CG33" s="26" t="s">
        <v>863</v>
      </c>
      <c r="CI33" s="26" t="s">
        <v>267</v>
      </c>
      <c r="CJ33" s="26">
        <v>173.42</v>
      </c>
      <c r="CK33" s="26">
        <v>0</v>
      </c>
      <c r="CL33" s="26">
        <v>8.67</v>
      </c>
      <c r="CM33" s="26">
        <v>35.71</v>
      </c>
      <c r="CQ33" s="26" t="s">
        <v>437</v>
      </c>
      <c r="CR33" s="26" t="s">
        <v>864</v>
      </c>
      <c r="CS33" s="26" t="s">
        <v>865</v>
      </c>
      <c r="CW33" s="26" t="s">
        <v>866</v>
      </c>
      <c r="CX33" s="26" t="s">
        <v>162</v>
      </c>
      <c r="CY33" s="26" t="s">
        <v>196</v>
      </c>
      <c r="CZ33" s="26">
        <v>0</v>
      </c>
      <c r="DA33" s="26" t="s">
        <v>150</v>
      </c>
      <c r="DB33" s="26">
        <v>0</v>
      </c>
      <c r="DK33" s="26" t="s">
        <v>150</v>
      </c>
      <c r="DL33" s="26" t="s">
        <v>542</v>
      </c>
      <c r="DM33" s="26" t="s">
        <v>867</v>
      </c>
      <c r="DN33" s="26" t="s">
        <v>868</v>
      </c>
      <c r="DO33" s="26" t="s">
        <v>841</v>
      </c>
      <c r="DP33" s="26" t="s">
        <v>869</v>
      </c>
      <c r="DR33" s="26" t="s">
        <v>189</v>
      </c>
      <c r="DS33" s="26" t="s">
        <v>189</v>
      </c>
      <c r="DT33" s="26" t="s">
        <v>189</v>
      </c>
      <c r="DU33" s="26" t="s">
        <v>189</v>
      </c>
      <c r="DV33" s="26" t="s">
        <v>203</v>
      </c>
      <c r="DW33" s="26" t="s">
        <v>162</v>
      </c>
      <c r="DX33" s="26" t="s">
        <v>162</v>
      </c>
      <c r="DY33" s="26">
        <v>0</v>
      </c>
      <c r="DZ33" s="26" t="s">
        <v>150</v>
      </c>
      <c r="EH33" s="26" t="s">
        <v>189</v>
      </c>
      <c r="EI33" s="26">
        <v>0.16</v>
      </c>
      <c r="EJ33" s="26">
        <v>27.7472</v>
      </c>
      <c r="EK33" s="26">
        <v>35.71</v>
      </c>
      <c r="EL33" s="26" t="s">
        <v>870</v>
      </c>
      <c r="EM33" s="26" t="s">
        <v>206</v>
      </c>
      <c r="EN33" s="26" t="s">
        <v>207</v>
      </c>
    </row>
    <row r="34" spans="1:144">
      <c r="A34" s="26" t="s">
        <v>145</v>
      </c>
      <c r="B34" s="26" t="s">
        <v>395</v>
      </c>
      <c r="C34" s="26" t="s">
        <v>844</v>
      </c>
      <c r="D34" s="26" t="s">
        <v>148</v>
      </c>
      <c r="E34" s="26" t="s">
        <v>149</v>
      </c>
      <c r="F34" s="26" t="s">
        <v>150</v>
      </c>
      <c r="G34" s="26" t="s">
        <v>151</v>
      </c>
      <c r="H34" s="26" t="s">
        <v>152</v>
      </c>
      <c r="I34" s="26" t="s">
        <v>153</v>
      </c>
      <c r="J34" s="26" t="s">
        <v>154</v>
      </c>
      <c r="K34" s="26" t="s">
        <v>209</v>
      </c>
      <c r="L34" s="26" t="s">
        <v>335</v>
      </c>
      <c r="M34" s="26" t="s">
        <v>845</v>
      </c>
      <c r="O34" s="26" t="s">
        <v>871</v>
      </c>
      <c r="P34" s="26" t="s">
        <v>872</v>
      </c>
      <c r="S34" s="26" t="s">
        <v>873</v>
      </c>
      <c r="T34" s="26">
        <v>157.056</v>
      </c>
      <c r="U34" s="26" t="s">
        <v>217</v>
      </c>
      <c r="V34" s="26" t="s">
        <v>150</v>
      </c>
      <c r="Y34" s="26" t="s">
        <v>851</v>
      </c>
      <c r="Z34" s="26">
        <v>26.93265</v>
      </c>
      <c r="AA34" s="26">
        <v>0</v>
      </c>
      <c r="AB34" s="26">
        <v>0</v>
      </c>
      <c r="AC34" s="26">
        <v>25</v>
      </c>
      <c r="AD34" s="26" t="s">
        <v>773</v>
      </c>
      <c r="AE34" s="26" t="s">
        <v>773</v>
      </c>
      <c r="AF34" s="26" t="s">
        <v>773</v>
      </c>
      <c r="AG34" s="26" t="s">
        <v>874</v>
      </c>
      <c r="AI34" s="26" t="s">
        <v>167</v>
      </c>
      <c r="AJ34" s="26" t="s">
        <v>168</v>
      </c>
      <c r="AK34" s="26" t="s">
        <v>169</v>
      </c>
      <c r="AM34" s="26" t="s">
        <v>345</v>
      </c>
      <c r="AN34" s="26" t="s">
        <v>172</v>
      </c>
      <c r="AO34" s="26" t="s">
        <v>875</v>
      </c>
      <c r="AP34" s="26" t="s">
        <v>162</v>
      </c>
      <c r="AQ34" s="26" t="s">
        <v>857</v>
      </c>
      <c r="AR34" s="26" t="s">
        <v>858</v>
      </c>
      <c r="AS34" s="26" t="s">
        <v>662</v>
      </c>
      <c r="AU34" s="26" t="s">
        <v>860</v>
      </c>
      <c r="AV34" s="26" t="s">
        <v>860</v>
      </c>
      <c r="AX34" s="26" t="s">
        <v>876</v>
      </c>
      <c r="AY34" s="26" t="s">
        <v>179</v>
      </c>
      <c r="BC34" s="26" t="s">
        <v>844</v>
      </c>
      <c r="BD34" s="26" t="s">
        <v>180</v>
      </c>
      <c r="BE34" s="26" t="s">
        <v>181</v>
      </c>
      <c r="BF34" s="26" t="s">
        <v>167</v>
      </c>
      <c r="BH34" s="26" t="s">
        <v>162</v>
      </c>
      <c r="BI34" s="26" t="s">
        <v>182</v>
      </c>
      <c r="BJ34" s="26" t="s">
        <v>877</v>
      </c>
      <c r="BK34" s="26" t="s">
        <v>302</v>
      </c>
      <c r="BL34" s="26" t="s">
        <v>185</v>
      </c>
      <c r="BM34" s="26" t="s">
        <v>186</v>
      </c>
      <c r="BN34" s="26" t="s">
        <v>162</v>
      </c>
      <c r="BP34" s="26">
        <v>0</v>
      </c>
      <c r="BQ34" s="26" t="s">
        <v>353</v>
      </c>
      <c r="BS34" s="26" t="s">
        <v>354</v>
      </c>
      <c r="BT34" s="26" t="s">
        <v>185</v>
      </c>
      <c r="BV34" s="26">
        <v>22.8466</v>
      </c>
      <c r="BW34" s="26">
        <v>0.14</v>
      </c>
      <c r="BZ34" s="26">
        <v>0</v>
      </c>
      <c r="CA34" s="26" t="s">
        <v>189</v>
      </c>
      <c r="CC34" s="26" t="s">
        <v>162</v>
      </c>
      <c r="CD34" s="26">
        <v>0</v>
      </c>
      <c r="CE34" s="26" t="s">
        <v>190</v>
      </c>
      <c r="CF34" s="26" t="s">
        <v>195</v>
      </c>
      <c r="CG34" s="26" t="s">
        <v>878</v>
      </c>
      <c r="CI34" s="26" t="s">
        <v>232</v>
      </c>
      <c r="CJ34" s="26">
        <v>163.19</v>
      </c>
      <c r="CK34" s="26">
        <v>0</v>
      </c>
      <c r="CL34" s="26">
        <v>8.16</v>
      </c>
      <c r="CM34" s="26">
        <v>43.79</v>
      </c>
      <c r="CQ34" s="26" t="s">
        <v>605</v>
      </c>
      <c r="CR34" s="26" t="s">
        <v>864</v>
      </c>
      <c r="CS34" s="26" t="s">
        <v>865</v>
      </c>
      <c r="CW34" s="26" t="s">
        <v>879</v>
      </c>
      <c r="CX34" s="26" t="s">
        <v>167</v>
      </c>
      <c r="CY34" s="26" t="s">
        <v>196</v>
      </c>
      <c r="CZ34" s="26">
        <v>0</v>
      </c>
      <c r="DA34" s="26" t="s">
        <v>150</v>
      </c>
      <c r="DB34" s="26">
        <v>0</v>
      </c>
      <c r="DK34" s="26" t="s">
        <v>150</v>
      </c>
      <c r="DL34" s="26" t="s">
        <v>542</v>
      </c>
      <c r="DM34" s="26" t="s">
        <v>867</v>
      </c>
      <c r="DN34" s="26" t="s">
        <v>868</v>
      </c>
      <c r="DO34" s="26" t="s">
        <v>841</v>
      </c>
      <c r="DP34" s="26" t="s">
        <v>869</v>
      </c>
      <c r="DR34" s="26" t="s">
        <v>189</v>
      </c>
      <c r="DS34" s="26" t="s">
        <v>189</v>
      </c>
      <c r="DT34" s="26" t="s">
        <v>189</v>
      </c>
      <c r="DU34" s="26" t="s">
        <v>189</v>
      </c>
      <c r="DV34" s="26" t="s">
        <v>203</v>
      </c>
      <c r="DW34" s="26" t="s">
        <v>162</v>
      </c>
      <c r="DX34" s="26" t="s">
        <v>162</v>
      </c>
      <c r="DY34" s="26">
        <v>0</v>
      </c>
      <c r="DZ34" s="26" t="s">
        <v>150</v>
      </c>
      <c r="EH34" s="26" t="s">
        <v>189</v>
      </c>
      <c r="EI34" s="26">
        <v>0.14</v>
      </c>
      <c r="EJ34" s="26">
        <v>22.8466</v>
      </c>
      <c r="EK34" s="26">
        <v>43.79</v>
      </c>
      <c r="EL34" s="26" t="s">
        <v>880</v>
      </c>
      <c r="EM34" s="26" t="s">
        <v>206</v>
      </c>
      <c r="EN34" s="26" t="s">
        <v>207</v>
      </c>
    </row>
    <row r="35" spans="1:144">
      <c r="A35" s="26" t="s">
        <v>145</v>
      </c>
      <c r="B35" s="26" t="s">
        <v>395</v>
      </c>
      <c r="C35" s="26" t="s">
        <v>844</v>
      </c>
      <c r="D35" s="26" t="s">
        <v>148</v>
      </c>
      <c r="E35" s="26" t="s">
        <v>149</v>
      </c>
      <c r="F35" s="26" t="s">
        <v>150</v>
      </c>
      <c r="G35" s="26" t="s">
        <v>151</v>
      </c>
      <c r="H35" s="26" t="s">
        <v>152</v>
      </c>
      <c r="I35" s="26" t="s">
        <v>153</v>
      </c>
      <c r="J35" s="26" t="s">
        <v>154</v>
      </c>
      <c r="K35" s="26" t="s">
        <v>209</v>
      </c>
      <c r="L35" s="26" t="s">
        <v>335</v>
      </c>
      <c r="M35" s="26" t="s">
        <v>845</v>
      </c>
      <c r="O35" s="26" t="s">
        <v>881</v>
      </c>
      <c r="P35" s="26" t="s">
        <v>882</v>
      </c>
      <c r="S35" s="26" t="s">
        <v>883</v>
      </c>
      <c r="T35" s="26">
        <v>195.911</v>
      </c>
      <c r="U35" s="26" t="s">
        <v>217</v>
      </c>
      <c r="V35" s="26" t="s">
        <v>150</v>
      </c>
      <c r="Y35" s="26" t="s">
        <v>851</v>
      </c>
      <c r="Z35" s="26">
        <v>26.93265</v>
      </c>
      <c r="AA35" s="26">
        <v>0</v>
      </c>
      <c r="AB35" s="26">
        <v>0</v>
      </c>
      <c r="AC35" s="26">
        <v>35</v>
      </c>
      <c r="AD35" s="26" t="s">
        <v>458</v>
      </c>
      <c r="AE35" s="26" t="s">
        <v>458</v>
      </c>
      <c r="AF35" s="26" t="s">
        <v>458</v>
      </c>
      <c r="AG35" s="26" t="s">
        <v>884</v>
      </c>
      <c r="AI35" s="26" t="s">
        <v>167</v>
      </c>
      <c r="AJ35" s="26" t="s">
        <v>168</v>
      </c>
      <c r="AK35" s="26" t="s">
        <v>169</v>
      </c>
      <c r="AM35" s="26" t="s">
        <v>885</v>
      </c>
      <c r="AN35" s="26" t="s">
        <v>172</v>
      </c>
      <c r="AO35" s="26" t="s">
        <v>886</v>
      </c>
      <c r="AP35" s="26" t="s">
        <v>162</v>
      </c>
      <c r="AQ35" s="26" t="s">
        <v>857</v>
      </c>
      <c r="AR35" s="26" t="s">
        <v>858</v>
      </c>
      <c r="AS35" s="26" t="s">
        <v>887</v>
      </c>
      <c r="AU35" s="26" t="s">
        <v>860</v>
      </c>
      <c r="AV35" s="26" t="s">
        <v>860</v>
      </c>
      <c r="AX35" s="26" t="s">
        <v>888</v>
      </c>
      <c r="AY35" s="26" t="s">
        <v>179</v>
      </c>
      <c r="BC35" s="26" t="s">
        <v>844</v>
      </c>
      <c r="BD35" s="26" t="s">
        <v>180</v>
      </c>
      <c r="BE35" s="26" t="s">
        <v>181</v>
      </c>
      <c r="BF35" s="26" t="s">
        <v>167</v>
      </c>
      <c r="BH35" s="26" t="s">
        <v>162</v>
      </c>
      <c r="BI35" s="26" t="s">
        <v>182</v>
      </c>
      <c r="BJ35" s="26" t="s">
        <v>889</v>
      </c>
      <c r="BK35" s="26" t="s">
        <v>302</v>
      </c>
      <c r="BL35" s="26" t="s">
        <v>185</v>
      </c>
      <c r="BM35" s="26" t="s">
        <v>186</v>
      </c>
      <c r="BN35" s="26" t="s">
        <v>162</v>
      </c>
      <c r="BP35" s="26">
        <v>0</v>
      </c>
      <c r="BQ35" s="26" t="s">
        <v>150</v>
      </c>
      <c r="BS35" s="26" t="s">
        <v>188</v>
      </c>
      <c r="BT35" s="26" t="s">
        <v>185</v>
      </c>
      <c r="BV35" s="26">
        <v>28.287</v>
      </c>
      <c r="BW35" s="26">
        <v>0.14</v>
      </c>
      <c r="BZ35" s="26">
        <v>0</v>
      </c>
      <c r="CA35" s="26" t="s">
        <v>189</v>
      </c>
      <c r="CC35" s="26" t="s">
        <v>162</v>
      </c>
      <c r="CD35" s="26">
        <v>0</v>
      </c>
      <c r="CE35" s="26" t="s">
        <v>190</v>
      </c>
      <c r="CF35" s="26" t="s">
        <v>167</v>
      </c>
      <c r="CG35" s="26" t="s">
        <v>890</v>
      </c>
      <c r="CI35" s="26" t="s">
        <v>232</v>
      </c>
      <c r="CJ35" s="26">
        <v>202.05</v>
      </c>
      <c r="CK35" s="26">
        <v>0</v>
      </c>
      <c r="CL35" s="26">
        <v>10.1</v>
      </c>
      <c r="CM35" s="26">
        <v>54.27</v>
      </c>
      <c r="CQ35" s="26" t="s">
        <v>233</v>
      </c>
      <c r="CR35" s="26" t="s">
        <v>864</v>
      </c>
      <c r="CS35" s="26" t="s">
        <v>865</v>
      </c>
      <c r="CW35" s="26" t="s">
        <v>891</v>
      </c>
      <c r="CX35" s="26" t="s">
        <v>167</v>
      </c>
      <c r="CY35" s="26" t="s">
        <v>196</v>
      </c>
      <c r="CZ35" s="26">
        <v>0</v>
      </c>
      <c r="DA35" s="26" t="s">
        <v>150</v>
      </c>
      <c r="DB35" s="26">
        <v>0</v>
      </c>
      <c r="DK35" s="26" t="s">
        <v>150</v>
      </c>
      <c r="DL35" s="26" t="s">
        <v>542</v>
      </c>
      <c r="DM35" s="26" t="s">
        <v>867</v>
      </c>
      <c r="DN35" s="26" t="s">
        <v>868</v>
      </c>
      <c r="DO35" s="26" t="s">
        <v>841</v>
      </c>
      <c r="DP35" s="26" t="s">
        <v>869</v>
      </c>
      <c r="DR35" s="26" t="s">
        <v>189</v>
      </c>
      <c r="DS35" s="26" t="s">
        <v>189</v>
      </c>
      <c r="DT35" s="26" t="s">
        <v>189</v>
      </c>
      <c r="DU35" s="26" t="s">
        <v>189</v>
      </c>
      <c r="DV35" s="26" t="s">
        <v>203</v>
      </c>
      <c r="DW35" s="26" t="s">
        <v>162</v>
      </c>
      <c r="DX35" s="26" t="s">
        <v>162</v>
      </c>
      <c r="DY35" s="26">
        <v>0</v>
      </c>
      <c r="DZ35" s="26" t="s">
        <v>150</v>
      </c>
      <c r="EH35" s="26" t="s">
        <v>189</v>
      </c>
      <c r="EI35" s="26">
        <v>0.14</v>
      </c>
      <c r="EJ35" s="26">
        <v>28.287</v>
      </c>
      <c r="EK35" s="26">
        <v>54.27</v>
      </c>
      <c r="EL35" s="26" t="s">
        <v>892</v>
      </c>
      <c r="EM35" s="26" t="s">
        <v>206</v>
      </c>
      <c r="EN35" s="26" t="s">
        <v>207</v>
      </c>
    </row>
    <row r="36" spans="1:144">
      <c r="A36" s="26" t="s">
        <v>145</v>
      </c>
      <c r="B36" s="26" t="s">
        <v>395</v>
      </c>
      <c r="C36" s="26" t="s">
        <v>893</v>
      </c>
      <c r="D36" s="26" t="s">
        <v>148</v>
      </c>
      <c r="E36" s="26" t="s">
        <v>149</v>
      </c>
      <c r="G36" s="26" t="s">
        <v>151</v>
      </c>
      <c r="H36" s="26" t="s">
        <v>152</v>
      </c>
      <c r="I36" s="26" t="s">
        <v>153</v>
      </c>
      <c r="J36" s="26" t="s">
        <v>154</v>
      </c>
      <c r="K36" s="26" t="s">
        <v>474</v>
      </c>
      <c r="L36" s="26" t="s">
        <v>894</v>
      </c>
      <c r="M36" s="26" t="s">
        <v>895</v>
      </c>
      <c r="N36" s="26" t="s">
        <v>896</v>
      </c>
      <c r="O36" s="26" t="s">
        <v>897</v>
      </c>
      <c r="P36" s="26" t="s">
        <v>898</v>
      </c>
      <c r="Q36" s="26" t="s">
        <v>899</v>
      </c>
      <c r="R36" s="26">
        <v>235.584</v>
      </c>
      <c r="S36" s="26" t="s">
        <v>900</v>
      </c>
      <c r="T36" s="26">
        <v>229.449</v>
      </c>
      <c r="U36" s="26" t="s">
        <v>217</v>
      </c>
      <c r="V36" s="26" t="s">
        <v>150</v>
      </c>
      <c r="Y36" s="26" t="s">
        <v>901</v>
      </c>
      <c r="Z36" s="26">
        <v>35.3376</v>
      </c>
      <c r="AA36" s="26">
        <v>0</v>
      </c>
      <c r="AB36" s="26">
        <v>0</v>
      </c>
      <c r="AC36" s="26">
        <v>42</v>
      </c>
      <c r="AD36" s="26" t="s">
        <v>902</v>
      </c>
      <c r="AE36" s="26" t="s">
        <v>902</v>
      </c>
      <c r="AF36" s="26" t="s">
        <v>902</v>
      </c>
      <c r="AG36" s="26" t="s">
        <v>903</v>
      </c>
      <c r="AI36" s="26" t="s">
        <v>167</v>
      </c>
      <c r="AJ36" s="26" t="s">
        <v>168</v>
      </c>
      <c r="AK36" s="26" t="s">
        <v>169</v>
      </c>
      <c r="AL36" s="26" t="s">
        <v>904</v>
      </c>
      <c r="AM36" s="26" t="s">
        <v>905</v>
      </c>
      <c r="AN36" s="26" t="s">
        <v>172</v>
      </c>
      <c r="AO36" s="26" t="s">
        <v>906</v>
      </c>
      <c r="AP36" s="26" t="s">
        <v>162</v>
      </c>
      <c r="AQ36" s="26" t="s">
        <v>907</v>
      </c>
      <c r="AR36" s="26" t="s">
        <v>908</v>
      </c>
      <c r="AS36" s="26" t="s">
        <v>909</v>
      </c>
      <c r="AU36" s="26" t="s">
        <v>910</v>
      </c>
      <c r="AV36" s="26" t="s">
        <v>910</v>
      </c>
      <c r="AX36" s="26" t="s">
        <v>911</v>
      </c>
      <c r="AY36" s="26" t="s">
        <v>179</v>
      </c>
      <c r="BC36" s="26" t="s">
        <v>893</v>
      </c>
      <c r="BD36" s="26" t="s">
        <v>180</v>
      </c>
      <c r="BE36" s="26" t="s">
        <v>181</v>
      </c>
      <c r="BF36" s="26" t="s">
        <v>167</v>
      </c>
      <c r="BH36" s="26" t="s">
        <v>162</v>
      </c>
      <c r="BI36" s="26" t="s">
        <v>182</v>
      </c>
      <c r="BJ36" s="26" t="s">
        <v>912</v>
      </c>
      <c r="BK36" s="26" t="s">
        <v>184</v>
      </c>
      <c r="BL36" s="26" t="s">
        <v>185</v>
      </c>
      <c r="BM36" s="26" t="s">
        <v>186</v>
      </c>
      <c r="BN36" s="26" t="s">
        <v>162</v>
      </c>
      <c r="BP36" s="26">
        <v>0</v>
      </c>
      <c r="BQ36" s="26" t="s">
        <v>324</v>
      </c>
      <c r="BS36" s="26" t="s">
        <v>230</v>
      </c>
      <c r="BT36" s="26" t="s">
        <v>185</v>
      </c>
      <c r="BV36" s="26">
        <v>37.6928</v>
      </c>
      <c r="BW36" s="26">
        <v>0.16</v>
      </c>
      <c r="BZ36" s="26">
        <v>0</v>
      </c>
      <c r="CA36" s="26" t="s">
        <v>189</v>
      </c>
      <c r="CC36" s="26" t="s">
        <v>162</v>
      </c>
      <c r="CD36" s="26">
        <v>0</v>
      </c>
      <c r="CE36" s="26" t="s">
        <v>190</v>
      </c>
      <c r="CF36" s="26" t="s">
        <v>167</v>
      </c>
      <c r="CG36" s="26" t="s">
        <v>913</v>
      </c>
      <c r="CI36" s="26" t="s">
        <v>496</v>
      </c>
      <c r="CJ36" s="26">
        <v>235.58</v>
      </c>
      <c r="CK36" s="26">
        <v>0</v>
      </c>
      <c r="CL36" s="26">
        <v>11.78</v>
      </c>
      <c r="CM36" s="26">
        <v>23.97</v>
      </c>
      <c r="CQ36" s="26" t="s">
        <v>605</v>
      </c>
      <c r="CR36" s="26" t="s">
        <v>914</v>
      </c>
      <c r="CS36" s="26" t="s">
        <v>915</v>
      </c>
      <c r="CW36" s="26" t="s">
        <v>916</v>
      </c>
      <c r="CX36" s="26" t="s">
        <v>162</v>
      </c>
      <c r="CY36" s="26" t="s">
        <v>196</v>
      </c>
      <c r="CZ36" s="26">
        <v>0</v>
      </c>
      <c r="DB36" s="26">
        <v>0</v>
      </c>
      <c r="DK36" s="26" t="s">
        <v>150</v>
      </c>
      <c r="DL36" s="26" t="s">
        <v>917</v>
      </c>
      <c r="DM36" s="26" t="s">
        <v>918</v>
      </c>
      <c r="DN36" s="26" t="s">
        <v>919</v>
      </c>
      <c r="DO36" s="26" t="s">
        <v>841</v>
      </c>
      <c r="DP36" s="26" t="s">
        <v>920</v>
      </c>
      <c r="DR36" s="26" t="s">
        <v>189</v>
      </c>
      <c r="DS36" s="26" t="s">
        <v>189</v>
      </c>
      <c r="DT36" s="26" t="s">
        <v>189</v>
      </c>
      <c r="DU36" s="26" t="s">
        <v>189</v>
      </c>
      <c r="DV36" s="26" t="s">
        <v>203</v>
      </c>
      <c r="DW36" s="26" t="s">
        <v>162</v>
      </c>
      <c r="DX36" s="26" t="s">
        <v>162</v>
      </c>
      <c r="DY36" s="26">
        <v>0</v>
      </c>
      <c r="DZ36" s="26" t="s">
        <v>150</v>
      </c>
      <c r="EH36" s="26" t="s">
        <v>189</v>
      </c>
      <c r="EI36" s="26">
        <v>0.16</v>
      </c>
      <c r="EJ36" s="26">
        <v>37.6928</v>
      </c>
      <c r="EK36" s="26">
        <v>23.97</v>
      </c>
      <c r="EL36" s="26" t="s">
        <v>921</v>
      </c>
      <c r="EM36" s="26" t="s">
        <v>206</v>
      </c>
      <c r="EN36" s="26" t="s">
        <v>207</v>
      </c>
    </row>
    <row r="37" spans="1:144">
      <c r="A37" s="26" t="s">
        <v>145</v>
      </c>
      <c r="B37" s="26" t="s">
        <v>395</v>
      </c>
      <c r="C37" s="26" t="s">
        <v>922</v>
      </c>
      <c r="D37" s="26" t="s">
        <v>148</v>
      </c>
      <c r="E37" s="26" t="s">
        <v>149</v>
      </c>
      <c r="G37" s="26" t="s">
        <v>151</v>
      </c>
      <c r="H37" s="26" t="s">
        <v>152</v>
      </c>
      <c r="I37" s="26" t="s">
        <v>153</v>
      </c>
      <c r="J37" s="26" t="s">
        <v>154</v>
      </c>
      <c r="K37" s="26" t="s">
        <v>209</v>
      </c>
      <c r="L37" s="26" t="s">
        <v>210</v>
      </c>
      <c r="M37" s="26" t="s">
        <v>923</v>
      </c>
      <c r="N37" s="26" t="s">
        <v>924</v>
      </c>
      <c r="O37" s="26" t="s">
        <v>925</v>
      </c>
      <c r="P37" s="26" t="s">
        <v>926</v>
      </c>
      <c r="Q37" s="26" t="s">
        <v>927</v>
      </c>
      <c r="R37" s="26">
        <v>285.482</v>
      </c>
      <c r="S37" s="26" t="s">
        <v>928</v>
      </c>
      <c r="T37" s="26">
        <v>279.347</v>
      </c>
      <c r="U37" s="26" t="s">
        <v>217</v>
      </c>
      <c r="V37" s="26" t="s">
        <v>150</v>
      </c>
      <c r="Y37" s="26" t="s">
        <v>929</v>
      </c>
      <c r="Z37" s="26">
        <v>42.8223</v>
      </c>
      <c r="AA37" s="26">
        <v>0</v>
      </c>
      <c r="AB37" s="26">
        <v>0</v>
      </c>
      <c r="AC37" s="26">
        <v>55.5</v>
      </c>
      <c r="AD37" s="26" t="s">
        <v>930</v>
      </c>
      <c r="AE37" s="26" t="s">
        <v>930</v>
      </c>
      <c r="AF37" s="26" t="s">
        <v>930</v>
      </c>
      <c r="AG37" s="26" t="s">
        <v>931</v>
      </c>
      <c r="AI37" s="26" t="s">
        <v>167</v>
      </c>
      <c r="AJ37" s="26" t="s">
        <v>168</v>
      </c>
      <c r="AK37" s="26" t="s">
        <v>169</v>
      </c>
      <c r="AL37" s="26" t="s">
        <v>932</v>
      </c>
      <c r="AM37" s="26" t="s">
        <v>933</v>
      </c>
      <c r="AN37" s="26" t="s">
        <v>172</v>
      </c>
      <c r="AO37" s="26" t="s">
        <v>934</v>
      </c>
      <c r="AP37" s="26" t="s">
        <v>162</v>
      </c>
      <c r="AQ37" s="26" t="s">
        <v>935</v>
      </c>
      <c r="AR37" s="26" t="s">
        <v>936</v>
      </c>
      <c r="AS37" s="26" t="s">
        <v>937</v>
      </c>
      <c r="AT37" s="26" t="s">
        <v>470</v>
      </c>
      <c r="AU37" s="26" t="s">
        <v>938</v>
      </c>
      <c r="AV37" s="26" t="s">
        <v>938</v>
      </c>
      <c r="AX37" s="26" t="s">
        <v>939</v>
      </c>
      <c r="AY37" s="26" t="s">
        <v>179</v>
      </c>
      <c r="BC37" s="26" t="s">
        <v>922</v>
      </c>
      <c r="BD37" s="26" t="s">
        <v>180</v>
      </c>
      <c r="BE37" s="26" t="s">
        <v>181</v>
      </c>
      <c r="BF37" s="26" t="s">
        <v>167</v>
      </c>
      <c r="BH37" s="26" t="s">
        <v>162</v>
      </c>
      <c r="BI37" s="26" t="s">
        <v>182</v>
      </c>
      <c r="BJ37" s="26" t="s">
        <v>940</v>
      </c>
      <c r="BK37" s="26" t="s">
        <v>184</v>
      </c>
      <c r="BL37" s="26" t="s">
        <v>185</v>
      </c>
      <c r="BM37" s="26" t="s">
        <v>186</v>
      </c>
      <c r="BN37" s="26" t="s">
        <v>162</v>
      </c>
      <c r="BP37" s="26">
        <v>0</v>
      </c>
      <c r="BQ37" s="26" t="s">
        <v>494</v>
      </c>
      <c r="BR37" s="26" t="s">
        <v>934</v>
      </c>
      <c r="BS37" s="26" t="s">
        <v>230</v>
      </c>
      <c r="BT37" s="26" t="s">
        <v>185</v>
      </c>
      <c r="BV37" s="26">
        <v>39.9672</v>
      </c>
      <c r="BW37" s="26">
        <v>0.14</v>
      </c>
      <c r="BZ37" s="26">
        <v>0</v>
      </c>
      <c r="CA37" s="26" t="s">
        <v>189</v>
      </c>
      <c r="CC37" s="26" t="s">
        <v>162</v>
      </c>
      <c r="CD37" s="26">
        <v>0</v>
      </c>
      <c r="CE37" s="26" t="s">
        <v>190</v>
      </c>
      <c r="CF37" s="26" t="s">
        <v>167</v>
      </c>
      <c r="CG37" s="26" t="s">
        <v>941</v>
      </c>
      <c r="CI37" s="26" t="s">
        <v>232</v>
      </c>
      <c r="CJ37" s="26">
        <v>285.48</v>
      </c>
      <c r="CK37" s="26">
        <v>0</v>
      </c>
      <c r="CL37" s="26">
        <v>14.27</v>
      </c>
      <c r="CM37" s="26">
        <v>53.23</v>
      </c>
      <c r="CQ37" s="26" t="s">
        <v>437</v>
      </c>
      <c r="CR37" s="26" t="s">
        <v>942</v>
      </c>
      <c r="CS37" s="26" t="s">
        <v>943</v>
      </c>
      <c r="CW37" s="26" t="s">
        <v>944</v>
      </c>
      <c r="CX37" s="26" t="s">
        <v>167</v>
      </c>
      <c r="CY37" s="26" t="s">
        <v>196</v>
      </c>
      <c r="CZ37" s="26">
        <v>0</v>
      </c>
      <c r="DB37" s="26">
        <v>0</v>
      </c>
      <c r="DK37" s="26" t="s">
        <v>150</v>
      </c>
      <c r="DL37" s="26" t="s">
        <v>945</v>
      </c>
      <c r="DM37" s="26" t="s">
        <v>946</v>
      </c>
      <c r="DN37" s="26" t="s">
        <v>947</v>
      </c>
      <c r="DO37" s="26" t="s">
        <v>841</v>
      </c>
      <c r="DP37" s="26" t="s">
        <v>948</v>
      </c>
      <c r="DR37" s="26" t="s">
        <v>189</v>
      </c>
      <c r="DS37" s="26" t="s">
        <v>189</v>
      </c>
      <c r="DT37" s="26" t="s">
        <v>189</v>
      </c>
      <c r="DU37" s="26" t="s">
        <v>189</v>
      </c>
      <c r="DV37" s="26" t="s">
        <v>203</v>
      </c>
      <c r="DW37" s="26" t="s">
        <v>162</v>
      </c>
      <c r="DX37" s="26" t="s">
        <v>162</v>
      </c>
      <c r="DY37" s="26">
        <v>0</v>
      </c>
      <c r="DZ37" s="26" t="s">
        <v>150</v>
      </c>
      <c r="EA37" s="26" t="s">
        <v>470</v>
      </c>
      <c r="EB37" s="26" t="s">
        <v>471</v>
      </c>
      <c r="EH37" s="26" t="s">
        <v>189</v>
      </c>
      <c r="EI37" s="26">
        <v>0.14</v>
      </c>
      <c r="EJ37" s="26">
        <v>39.9672</v>
      </c>
      <c r="EK37" s="26">
        <v>53.23</v>
      </c>
      <c r="EL37" s="26" t="s">
        <v>949</v>
      </c>
      <c r="EM37" s="26" t="s">
        <v>206</v>
      </c>
      <c r="EN37" s="26" t="s">
        <v>207</v>
      </c>
    </row>
    <row r="38" spans="1:144">
      <c r="A38" s="26" t="s">
        <v>145</v>
      </c>
      <c r="B38" s="26" t="s">
        <v>395</v>
      </c>
      <c r="C38" s="26" t="s">
        <v>950</v>
      </c>
      <c r="D38" s="26" t="s">
        <v>148</v>
      </c>
      <c r="E38" s="26" t="s">
        <v>149</v>
      </c>
      <c r="F38" s="26" t="s">
        <v>150</v>
      </c>
      <c r="G38" s="26" t="s">
        <v>151</v>
      </c>
      <c r="H38" s="26" t="s">
        <v>152</v>
      </c>
      <c r="I38" s="26" t="s">
        <v>153</v>
      </c>
      <c r="J38" s="26" t="s">
        <v>154</v>
      </c>
      <c r="K38" s="26" t="s">
        <v>244</v>
      </c>
      <c r="L38" s="26" t="s">
        <v>707</v>
      </c>
      <c r="M38" s="26" t="s">
        <v>951</v>
      </c>
      <c r="N38" s="26" t="s">
        <v>952</v>
      </c>
      <c r="O38" s="26" t="s">
        <v>953</v>
      </c>
      <c r="P38" s="26" t="s">
        <v>954</v>
      </c>
      <c r="Q38" s="26" t="s">
        <v>955</v>
      </c>
      <c r="R38" s="26">
        <v>388.141</v>
      </c>
      <c r="S38" s="26" t="s">
        <v>956</v>
      </c>
      <c r="T38" s="26">
        <v>221.678</v>
      </c>
      <c r="U38" s="26" t="s">
        <v>217</v>
      </c>
      <c r="V38" s="26" t="s">
        <v>150</v>
      </c>
      <c r="Y38" s="26" t="s">
        <v>957</v>
      </c>
      <c r="Z38" s="26">
        <v>29.10853</v>
      </c>
      <c r="AA38" s="26">
        <v>0</v>
      </c>
      <c r="AB38" s="26">
        <v>0</v>
      </c>
      <c r="AC38" s="26">
        <v>56</v>
      </c>
      <c r="AD38" s="26" t="s">
        <v>958</v>
      </c>
      <c r="AE38" s="26" t="s">
        <v>958</v>
      </c>
      <c r="AF38" s="26" t="s">
        <v>958</v>
      </c>
      <c r="AG38" s="26" t="s">
        <v>959</v>
      </c>
      <c r="AI38" s="26" t="s">
        <v>167</v>
      </c>
      <c r="AJ38" s="26" t="s">
        <v>168</v>
      </c>
      <c r="AK38" s="26" t="s">
        <v>169</v>
      </c>
      <c r="AL38" s="26" t="s">
        <v>960</v>
      </c>
      <c r="AM38" s="26" t="s">
        <v>961</v>
      </c>
      <c r="AN38" s="26" t="s">
        <v>172</v>
      </c>
      <c r="AO38" s="26" t="s">
        <v>962</v>
      </c>
      <c r="AP38" s="26" t="s">
        <v>162</v>
      </c>
      <c r="AQ38" s="26" t="s">
        <v>963</v>
      </c>
      <c r="AR38" s="26" t="s">
        <v>964</v>
      </c>
      <c r="AS38" s="26" t="s">
        <v>662</v>
      </c>
      <c r="AU38" s="26" t="s">
        <v>965</v>
      </c>
      <c r="AV38" s="26" t="s">
        <v>965</v>
      </c>
      <c r="AX38" s="26" t="s">
        <v>966</v>
      </c>
      <c r="AY38" s="26" t="s">
        <v>179</v>
      </c>
      <c r="BC38" s="26" t="s">
        <v>950</v>
      </c>
      <c r="BD38" s="26" t="s">
        <v>180</v>
      </c>
      <c r="BE38" s="26" t="s">
        <v>181</v>
      </c>
      <c r="BF38" s="26" t="s">
        <v>167</v>
      </c>
      <c r="BH38" s="26" t="s">
        <v>162</v>
      </c>
      <c r="BI38" s="26" t="s">
        <v>182</v>
      </c>
      <c r="BJ38" s="26" t="s">
        <v>967</v>
      </c>
      <c r="BK38" s="26" t="s">
        <v>264</v>
      </c>
      <c r="BL38" s="26" t="s">
        <v>185</v>
      </c>
      <c r="BM38" s="26" t="s">
        <v>186</v>
      </c>
      <c r="BN38" s="26" t="s">
        <v>162</v>
      </c>
      <c r="BP38" s="26">
        <v>0</v>
      </c>
      <c r="BS38" s="26" t="s">
        <v>230</v>
      </c>
      <c r="BT38" s="26" t="s">
        <v>185</v>
      </c>
      <c r="BV38" s="26">
        <v>36.4496</v>
      </c>
      <c r="BW38" s="26">
        <v>0.16</v>
      </c>
      <c r="BZ38" s="26">
        <v>0</v>
      </c>
      <c r="CA38" s="26" t="s">
        <v>189</v>
      </c>
      <c r="CC38" s="26" t="s">
        <v>162</v>
      </c>
      <c r="CD38" s="26">
        <v>0</v>
      </c>
      <c r="CE38" s="26" t="s">
        <v>190</v>
      </c>
      <c r="CF38" s="26" t="s">
        <v>167</v>
      </c>
      <c r="CG38" s="26" t="s">
        <v>968</v>
      </c>
      <c r="CI38" s="26" t="s">
        <v>267</v>
      </c>
      <c r="CJ38" s="26">
        <v>227.81</v>
      </c>
      <c r="CK38" s="26">
        <v>0</v>
      </c>
      <c r="CL38" s="26">
        <v>11.39</v>
      </c>
      <c r="CM38" s="26">
        <v>88.05</v>
      </c>
      <c r="CQ38" s="26" t="s">
        <v>605</v>
      </c>
      <c r="CR38" s="26" t="s">
        <v>969</v>
      </c>
      <c r="CS38" s="26" t="s">
        <v>970</v>
      </c>
      <c r="CW38" s="26" t="s">
        <v>971</v>
      </c>
      <c r="CX38" s="26" t="s">
        <v>305</v>
      </c>
      <c r="CY38" s="26" t="s">
        <v>196</v>
      </c>
      <c r="CZ38" s="26">
        <v>0</v>
      </c>
      <c r="DA38" s="26" t="s">
        <v>150</v>
      </c>
      <c r="DB38" s="26">
        <v>0</v>
      </c>
      <c r="DK38" s="26" t="s">
        <v>150</v>
      </c>
      <c r="DL38" s="26" t="s">
        <v>972</v>
      </c>
      <c r="DM38" s="26" t="s">
        <v>973</v>
      </c>
      <c r="DN38" s="26" t="s">
        <v>974</v>
      </c>
      <c r="DO38" s="26" t="s">
        <v>975</v>
      </c>
      <c r="DP38" s="26" t="s">
        <v>976</v>
      </c>
      <c r="DR38" s="26" t="s">
        <v>189</v>
      </c>
      <c r="DS38" s="26" t="s">
        <v>189</v>
      </c>
      <c r="DT38" s="26" t="s">
        <v>189</v>
      </c>
      <c r="DU38" s="26" t="s">
        <v>189</v>
      </c>
      <c r="DV38" s="26" t="s">
        <v>203</v>
      </c>
      <c r="DW38" s="26" t="s">
        <v>162</v>
      </c>
      <c r="DX38" s="26" t="s">
        <v>162</v>
      </c>
      <c r="DY38" s="26">
        <v>0</v>
      </c>
      <c r="DZ38" s="26" t="s">
        <v>150</v>
      </c>
      <c r="EH38" s="26" t="s">
        <v>189</v>
      </c>
      <c r="EI38" s="26">
        <v>0.16</v>
      </c>
      <c r="EJ38" s="26">
        <v>36.4496</v>
      </c>
      <c r="EK38" s="26">
        <v>88.05</v>
      </c>
      <c r="EL38" s="26" t="s">
        <v>977</v>
      </c>
      <c r="EM38" s="26" t="s">
        <v>206</v>
      </c>
      <c r="EN38" s="26" t="s">
        <v>207</v>
      </c>
    </row>
    <row r="39" spans="1:144">
      <c r="A39" s="26" t="s">
        <v>145</v>
      </c>
      <c r="B39" s="26" t="s">
        <v>395</v>
      </c>
      <c r="C39" s="26" t="s">
        <v>950</v>
      </c>
      <c r="D39" s="26" t="s">
        <v>148</v>
      </c>
      <c r="E39" s="26" t="s">
        <v>149</v>
      </c>
      <c r="F39" s="26" t="s">
        <v>150</v>
      </c>
      <c r="G39" s="26" t="s">
        <v>151</v>
      </c>
      <c r="H39" s="26" t="s">
        <v>152</v>
      </c>
      <c r="I39" s="26" t="s">
        <v>153</v>
      </c>
      <c r="J39" s="26" t="s">
        <v>154</v>
      </c>
      <c r="K39" s="26" t="s">
        <v>244</v>
      </c>
      <c r="L39" s="26" t="s">
        <v>707</v>
      </c>
      <c r="M39" s="26" t="s">
        <v>951</v>
      </c>
      <c r="O39" s="26" t="s">
        <v>978</v>
      </c>
      <c r="P39" s="26" t="s">
        <v>979</v>
      </c>
      <c r="S39" s="26" t="s">
        <v>980</v>
      </c>
      <c r="T39" s="26">
        <v>154.193</v>
      </c>
      <c r="U39" s="26" t="s">
        <v>217</v>
      </c>
      <c r="V39" s="26" t="s">
        <v>150</v>
      </c>
      <c r="Y39" s="26" t="s">
        <v>957</v>
      </c>
      <c r="Z39" s="26">
        <v>29.10853</v>
      </c>
      <c r="AA39" s="26">
        <v>0</v>
      </c>
      <c r="AB39" s="26">
        <v>0</v>
      </c>
      <c r="AC39" s="26">
        <v>30</v>
      </c>
      <c r="AD39" s="26" t="s">
        <v>958</v>
      </c>
      <c r="AE39" s="26" t="s">
        <v>958</v>
      </c>
      <c r="AF39" s="26" t="s">
        <v>958</v>
      </c>
      <c r="AG39" s="26" t="s">
        <v>981</v>
      </c>
      <c r="AI39" s="26" t="s">
        <v>167</v>
      </c>
      <c r="AJ39" s="26" t="s">
        <v>168</v>
      </c>
      <c r="AK39" s="26" t="s">
        <v>169</v>
      </c>
      <c r="AM39" s="26" t="s">
        <v>982</v>
      </c>
      <c r="AN39" s="26" t="s">
        <v>172</v>
      </c>
      <c r="AO39" s="26" t="s">
        <v>983</v>
      </c>
      <c r="AP39" s="26" t="s">
        <v>162</v>
      </c>
      <c r="AQ39" s="26" t="s">
        <v>963</v>
      </c>
      <c r="AR39" s="26" t="s">
        <v>964</v>
      </c>
      <c r="AS39" s="26" t="s">
        <v>662</v>
      </c>
      <c r="AU39" s="26" t="s">
        <v>965</v>
      </c>
      <c r="AV39" s="26" t="s">
        <v>965</v>
      </c>
      <c r="AX39" s="26" t="s">
        <v>966</v>
      </c>
      <c r="AY39" s="26" t="s">
        <v>179</v>
      </c>
      <c r="BC39" s="26" t="s">
        <v>950</v>
      </c>
      <c r="BD39" s="26" t="s">
        <v>180</v>
      </c>
      <c r="BE39" s="26" t="s">
        <v>181</v>
      </c>
      <c r="BF39" s="26" t="s">
        <v>167</v>
      </c>
      <c r="BH39" s="26" t="s">
        <v>162</v>
      </c>
      <c r="BI39" s="26" t="s">
        <v>182</v>
      </c>
      <c r="BJ39" s="26" t="s">
        <v>984</v>
      </c>
      <c r="BK39" s="26" t="s">
        <v>264</v>
      </c>
      <c r="BL39" s="26" t="s">
        <v>185</v>
      </c>
      <c r="BM39" s="26" t="s">
        <v>186</v>
      </c>
      <c r="BN39" s="26" t="s">
        <v>162</v>
      </c>
      <c r="BP39" s="26">
        <v>0</v>
      </c>
      <c r="BR39" s="26" t="s">
        <v>385</v>
      </c>
      <c r="BS39" s="26" t="s">
        <v>354</v>
      </c>
      <c r="BT39" s="26" t="s">
        <v>185</v>
      </c>
      <c r="BV39" s="26">
        <v>25.6528</v>
      </c>
      <c r="BW39" s="26">
        <v>0.16</v>
      </c>
      <c r="BZ39" s="26">
        <v>0</v>
      </c>
      <c r="CA39" s="26" t="s">
        <v>189</v>
      </c>
      <c r="CC39" s="26" t="s">
        <v>162</v>
      </c>
      <c r="CD39" s="26">
        <v>0</v>
      </c>
      <c r="CE39" s="26" t="s">
        <v>190</v>
      </c>
      <c r="CF39" s="26" t="s">
        <v>195</v>
      </c>
      <c r="CG39" s="26" t="s">
        <v>985</v>
      </c>
      <c r="CI39" s="26" t="s">
        <v>267</v>
      </c>
      <c r="CJ39" s="26">
        <v>160.33</v>
      </c>
      <c r="CK39" s="26">
        <v>0</v>
      </c>
      <c r="CL39" s="26">
        <v>8.02</v>
      </c>
      <c r="CM39" s="26">
        <v>38.12</v>
      </c>
      <c r="CQ39" s="26" t="s">
        <v>605</v>
      </c>
      <c r="CR39" s="26" t="s">
        <v>969</v>
      </c>
      <c r="CS39" s="26" t="s">
        <v>970</v>
      </c>
      <c r="CW39" s="26" t="s">
        <v>986</v>
      </c>
      <c r="CX39" s="26" t="s">
        <v>305</v>
      </c>
      <c r="CY39" s="26" t="s">
        <v>196</v>
      </c>
      <c r="CZ39" s="26">
        <v>0</v>
      </c>
      <c r="DA39" s="26" t="s">
        <v>150</v>
      </c>
      <c r="DB39" s="26">
        <v>0</v>
      </c>
      <c r="DK39" s="26" t="s">
        <v>150</v>
      </c>
      <c r="DL39" s="26" t="s">
        <v>972</v>
      </c>
      <c r="DM39" s="26" t="s">
        <v>973</v>
      </c>
      <c r="DN39" s="26" t="s">
        <v>974</v>
      </c>
      <c r="DO39" s="26" t="s">
        <v>975</v>
      </c>
      <c r="DP39" s="26" t="s">
        <v>976</v>
      </c>
      <c r="DR39" s="26" t="s">
        <v>189</v>
      </c>
      <c r="DS39" s="26" t="s">
        <v>189</v>
      </c>
      <c r="DT39" s="26" t="s">
        <v>189</v>
      </c>
      <c r="DU39" s="26" t="s">
        <v>189</v>
      </c>
      <c r="DV39" s="26" t="s">
        <v>203</v>
      </c>
      <c r="DW39" s="26" t="s">
        <v>162</v>
      </c>
      <c r="DX39" s="26" t="s">
        <v>162</v>
      </c>
      <c r="DY39" s="26">
        <v>0</v>
      </c>
      <c r="DZ39" s="26" t="s">
        <v>150</v>
      </c>
      <c r="EH39" s="26" t="s">
        <v>189</v>
      </c>
      <c r="EI39" s="26">
        <v>0.16</v>
      </c>
      <c r="EJ39" s="26">
        <v>25.6528</v>
      </c>
      <c r="EK39" s="26">
        <v>38.12</v>
      </c>
      <c r="EL39" s="26" t="s">
        <v>987</v>
      </c>
      <c r="EM39" s="26" t="s">
        <v>206</v>
      </c>
      <c r="EN39" s="26" t="s">
        <v>207</v>
      </c>
    </row>
    <row r="40" spans="1:144">
      <c r="A40" s="26" t="s">
        <v>145</v>
      </c>
      <c r="B40" s="26" t="s">
        <v>395</v>
      </c>
      <c r="C40" s="26" t="s">
        <v>988</v>
      </c>
      <c r="D40" s="26" t="s">
        <v>148</v>
      </c>
      <c r="E40" s="26" t="s">
        <v>149</v>
      </c>
      <c r="G40" s="26" t="s">
        <v>151</v>
      </c>
      <c r="H40" s="26" t="s">
        <v>152</v>
      </c>
      <c r="I40" s="26" t="s">
        <v>153</v>
      </c>
      <c r="J40" s="26" t="s">
        <v>154</v>
      </c>
      <c r="K40" s="26" t="s">
        <v>989</v>
      </c>
      <c r="L40" s="26" t="s">
        <v>990</v>
      </c>
      <c r="M40" s="26" t="s">
        <v>991</v>
      </c>
      <c r="N40" s="26" t="s">
        <v>992</v>
      </c>
      <c r="O40" s="26" t="s">
        <v>993</v>
      </c>
      <c r="P40" s="26" t="s">
        <v>994</v>
      </c>
      <c r="Q40" s="26" t="s">
        <v>995</v>
      </c>
      <c r="R40" s="26">
        <v>364.828</v>
      </c>
      <c r="S40" s="26" t="s">
        <v>996</v>
      </c>
      <c r="T40" s="26">
        <v>358.693</v>
      </c>
      <c r="U40" s="26" t="s">
        <v>217</v>
      </c>
      <c r="V40" s="26" t="s">
        <v>150</v>
      </c>
      <c r="Y40" s="26" t="s">
        <v>997</v>
      </c>
      <c r="Z40" s="26">
        <v>54.7242</v>
      </c>
      <c r="AA40" s="26">
        <v>0</v>
      </c>
      <c r="AB40" s="26">
        <v>0</v>
      </c>
      <c r="AC40" s="26">
        <v>123</v>
      </c>
      <c r="AD40" s="26" t="s">
        <v>998</v>
      </c>
      <c r="AE40" s="26" t="s">
        <v>998</v>
      </c>
      <c r="AF40" s="26" t="s">
        <v>998</v>
      </c>
      <c r="AG40" s="26" t="s">
        <v>999</v>
      </c>
      <c r="AI40" s="26" t="s">
        <v>167</v>
      </c>
      <c r="AJ40" s="26" t="s">
        <v>168</v>
      </c>
      <c r="AK40" s="26" t="s">
        <v>169</v>
      </c>
      <c r="AL40" s="26" t="s">
        <v>632</v>
      </c>
      <c r="AM40" s="26" t="s">
        <v>1000</v>
      </c>
      <c r="AN40" s="26" t="s">
        <v>172</v>
      </c>
      <c r="AO40" s="26" t="s">
        <v>187</v>
      </c>
      <c r="AP40" s="26" t="s">
        <v>162</v>
      </c>
      <c r="AQ40" s="26" t="s">
        <v>1001</v>
      </c>
      <c r="AR40" s="26" t="s">
        <v>1002</v>
      </c>
      <c r="AS40" s="26" t="s">
        <v>1003</v>
      </c>
      <c r="AT40" s="26" t="s">
        <v>1004</v>
      </c>
      <c r="AU40" s="26" t="s">
        <v>1005</v>
      </c>
      <c r="AV40" s="26" t="s">
        <v>1005</v>
      </c>
      <c r="AX40" s="26" t="s">
        <v>1006</v>
      </c>
      <c r="AY40" s="26" t="s">
        <v>179</v>
      </c>
      <c r="BC40" s="26" t="s">
        <v>988</v>
      </c>
      <c r="BD40" s="26" t="s">
        <v>180</v>
      </c>
      <c r="BE40" s="26" t="s">
        <v>1007</v>
      </c>
      <c r="BF40" s="26" t="s">
        <v>167</v>
      </c>
      <c r="BH40" s="26" t="s">
        <v>162</v>
      </c>
      <c r="BI40" s="26" t="s">
        <v>182</v>
      </c>
      <c r="BJ40" s="26" t="s">
        <v>626</v>
      </c>
      <c r="BK40" s="26" t="s">
        <v>184</v>
      </c>
      <c r="BL40" s="26" t="s">
        <v>185</v>
      </c>
      <c r="BM40" s="26" t="s">
        <v>186</v>
      </c>
      <c r="BN40" s="26" t="s">
        <v>162</v>
      </c>
      <c r="BP40" s="26">
        <v>0</v>
      </c>
      <c r="BQ40" s="26" t="s">
        <v>187</v>
      </c>
      <c r="BS40" s="26" t="s">
        <v>188</v>
      </c>
      <c r="BT40" s="26" t="s">
        <v>185</v>
      </c>
      <c r="BV40" s="26">
        <v>21.8898</v>
      </c>
      <c r="BW40" s="26">
        <v>0.06</v>
      </c>
      <c r="BZ40" s="26">
        <v>0</v>
      </c>
      <c r="CA40" s="26" t="s">
        <v>189</v>
      </c>
      <c r="CC40" s="26" t="s">
        <v>162</v>
      </c>
      <c r="CD40" s="26">
        <v>0</v>
      </c>
      <c r="CE40" s="26" t="s">
        <v>190</v>
      </c>
      <c r="CF40" s="26" t="s">
        <v>167</v>
      </c>
      <c r="CG40" s="26" t="s">
        <v>1008</v>
      </c>
      <c r="CI40" s="26" t="s">
        <v>1009</v>
      </c>
      <c r="CJ40" s="26">
        <v>364.83</v>
      </c>
      <c r="CK40" s="26">
        <v>0</v>
      </c>
      <c r="CL40" s="26">
        <v>18.24</v>
      </c>
      <c r="CM40" s="26">
        <v>51.77</v>
      </c>
      <c r="CQ40" s="26" t="s">
        <v>233</v>
      </c>
      <c r="CR40" s="26" t="s">
        <v>1010</v>
      </c>
      <c r="CS40" s="26" t="s">
        <v>1011</v>
      </c>
      <c r="CW40" s="26" t="s">
        <v>1012</v>
      </c>
      <c r="CX40" s="26" t="s">
        <v>1013</v>
      </c>
      <c r="CY40" s="26" t="s">
        <v>196</v>
      </c>
      <c r="CZ40" s="26">
        <v>0</v>
      </c>
      <c r="DB40" s="26">
        <v>0</v>
      </c>
      <c r="DK40" s="26" t="s">
        <v>150</v>
      </c>
      <c r="DL40" s="26" t="s">
        <v>1014</v>
      </c>
      <c r="DM40" s="26" t="s">
        <v>1015</v>
      </c>
      <c r="DN40" s="26" t="s">
        <v>1016</v>
      </c>
      <c r="DO40" s="26" t="s">
        <v>1017</v>
      </c>
      <c r="DP40" s="26" t="s">
        <v>1018</v>
      </c>
      <c r="DR40" s="26" t="s">
        <v>189</v>
      </c>
      <c r="DS40" s="26" t="s">
        <v>189</v>
      </c>
      <c r="DT40" s="26" t="s">
        <v>189</v>
      </c>
      <c r="DU40" s="26" t="s">
        <v>189</v>
      </c>
      <c r="DV40" s="26" t="s">
        <v>203</v>
      </c>
      <c r="DW40" s="26" t="s">
        <v>162</v>
      </c>
      <c r="DX40" s="26" t="s">
        <v>162</v>
      </c>
      <c r="DY40" s="26">
        <v>0</v>
      </c>
      <c r="DZ40" s="26" t="s">
        <v>150</v>
      </c>
      <c r="EA40" s="26" t="s">
        <v>1004</v>
      </c>
      <c r="EB40" s="26" t="s">
        <v>1019</v>
      </c>
      <c r="EH40" s="26" t="s">
        <v>189</v>
      </c>
      <c r="EI40" s="26">
        <v>0.06</v>
      </c>
      <c r="EJ40" s="26">
        <v>21.8898</v>
      </c>
      <c r="EK40" s="26">
        <v>51.77</v>
      </c>
      <c r="EL40" s="26" t="s">
        <v>1020</v>
      </c>
      <c r="EM40" s="26" t="s">
        <v>206</v>
      </c>
      <c r="EN40" s="26" t="s">
        <v>207</v>
      </c>
    </row>
    <row r="41" spans="1:144">
      <c r="A41" s="26" t="s">
        <v>145</v>
      </c>
      <c r="B41" s="26" t="s">
        <v>395</v>
      </c>
      <c r="C41" s="26" t="s">
        <v>1021</v>
      </c>
      <c r="D41" s="26" t="s">
        <v>148</v>
      </c>
      <c r="E41" s="26" t="s">
        <v>149</v>
      </c>
      <c r="G41" s="26" t="s">
        <v>151</v>
      </c>
      <c r="H41" s="26" t="s">
        <v>152</v>
      </c>
      <c r="I41" s="26" t="s">
        <v>153</v>
      </c>
      <c r="J41" s="26" t="s">
        <v>154</v>
      </c>
      <c r="K41" s="26" t="s">
        <v>244</v>
      </c>
      <c r="L41" s="26" t="s">
        <v>366</v>
      </c>
      <c r="M41" s="26" t="s">
        <v>1022</v>
      </c>
      <c r="N41" s="26" t="s">
        <v>1023</v>
      </c>
      <c r="O41" s="26" t="s">
        <v>1024</v>
      </c>
      <c r="P41" s="26" t="s">
        <v>1025</v>
      </c>
      <c r="Q41" s="26" t="s">
        <v>1026</v>
      </c>
      <c r="R41" s="26">
        <v>660.944</v>
      </c>
      <c r="S41" s="26" t="s">
        <v>625</v>
      </c>
      <c r="T41" s="26">
        <v>324.337</v>
      </c>
      <c r="U41" s="26" t="s">
        <v>217</v>
      </c>
      <c r="V41" s="26" t="s">
        <v>150</v>
      </c>
      <c r="Y41" s="26" t="s">
        <v>1027</v>
      </c>
      <c r="Z41" s="26">
        <v>49.5708</v>
      </c>
      <c r="AA41" s="26">
        <v>0</v>
      </c>
      <c r="AB41" s="26">
        <v>0</v>
      </c>
      <c r="AC41" s="26">
        <v>73</v>
      </c>
      <c r="AD41" s="26" t="s">
        <v>1028</v>
      </c>
      <c r="AE41" s="26" t="s">
        <v>1028</v>
      </c>
      <c r="AF41" s="26" t="s">
        <v>1028</v>
      </c>
      <c r="AG41" s="26" t="s">
        <v>1029</v>
      </c>
      <c r="AI41" s="26" t="s">
        <v>167</v>
      </c>
      <c r="AJ41" s="26" t="s">
        <v>168</v>
      </c>
      <c r="AK41" s="26" t="s">
        <v>169</v>
      </c>
      <c r="AL41" s="26" t="s">
        <v>1030</v>
      </c>
      <c r="AM41" s="26" t="s">
        <v>1031</v>
      </c>
      <c r="AN41" s="26" t="s">
        <v>172</v>
      </c>
      <c r="AO41" s="26" t="s">
        <v>295</v>
      </c>
      <c r="AP41" s="26" t="s">
        <v>167</v>
      </c>
      <c r="AQ41" s="26" t="s">
        <v>1032</v>
      </c>
      <c r="AR41" s="26" t="s">
        <v>1033</v>
      </c>
      <c r="AS41" s="26" t="s">
        <v>1003</v>
      </c>
      <c r="AU41" s="26" t="s">
        <v>1034</v>
      </c>
      <c r="AV41" s="26" t="s">
        <v>1034</v>
      </c>
      <c r="AX41" s="26" t="s">
        <v>1035</v>
      </c>
      <c r="AY41" s="26" t="s">
        <v>179</v>
      </c>
      <c r="BC41" s="26" t="s">
        <v>1021</v>
      </c>
      <c r="BD41" s="26" t="s">
        <v>180</v>
      </c>
      <c r="BE41" s="26" t="s">
        <v>181</v>
      </c>
      <c r="BF41" s="26" t="s">
        <v>167</v>
      </c>
      <c r="BH41" s="26" t="s">
        <v>162</v>
      </c>
      <c r="BI41" s="26" t="s">
        <v>182</v>
      </c>
      <c r="BJ41" s="26" t="s">
        <v>323</v>
      </c>
      <c r="BK41" s="26" t="s">
        <v>264</v>
      </c>
      <c r="BL41" s="26" t="s">
        <v>185</v>
      </c>
      <c r="BM41" s="26" t="s">
        <v>186</v>
      </c>
      <c r="BN41" s="26" t="s">
        <v>162</v>
      </c>
      <c r="BP41" s="26">
        <v>0</v>
      </c>
      <c r="BQ41" s="26" t="s">
        <v>303</v>
      </c>
      <c r="BS41" s="26" t="s">
        <v>304</v>
      </c>
      <c r="BT41" s="26" t="s">
        <v>185</v>
      </c>
      <c r="BV41" s="26">
        <v>52.8752</v>
      </c>
      <c r="BW41" s="26">
        <v>0.16</v>
      </c>
      <c r="BZ41" s="26">
        <v>0</v>
      </c>
      <c r="CA41" s="26" t="s">
        <v>189</v>
      </c>
      <c r="CC41" s="26" t="s">
        <v>162</v>
      </c>
      <c r="CD41" s="26">
        <v>0</v>
      </c>
      <c r="CE41" s="26" t="s">
        <v>190</v>
      </c>
      <c r="CF41" s="26" t="s">
        <v>195</v>
      </c>
      <c r="CG41" s="26" t="s">
        <v>1036</v>
      </c>
      <c r="CI41" s="26" t="s">
        <v>267</v>
      </c>
      <c r="CJ41" s="26">
        <v>330.47</v>
      </c>
      <c r="CK41" s="26">
        <v>0</v>
      </c>
      <c r="CL41" s="26">
        <v>16.52</v>
      </c>
      <c r="CM41" s="26">
        <v>72.72</v>
      </c>
      <c r="CQ41" s="26" t="s">
        <v>233</v>
      </c>
      <c r="CR41" s="26" t="s">
        <v>1037</v>
      </c>
      <c r="CS41" s="26" t="s">
        <v>1038</v>
      </c>
      <c r="CW41" s="26" t="s">
        <v>1039</v>
      </c>
      <c r="CX41" s="26" t="s">
        <v>167</v>
      </c>
      <c r="CY41" s="26" t="s">
        <v>196</v>
      </c>
      <c r="CZ41" s="26">
        <v>0</v>
      </c>
      <c r="DB41" s="26">
        <v>0</v>
      </c>
      <c r="DK41" s="26" t="s">
        <v>150</v>
      </c>
      <c r="DL41" s="26" t="s">
        <v>390</v>
      </c>
      <c r="DM41" s="26" t="s">
        <v>1040</v>
      </c>
      <c r="DN41" s="26" t="s">
        <v>1041</v>
      </c>
      <c r="DO41" s="26" t="s">
        <v>1042</v>
      </c>
      <c r="DP41" s="26" t="s">
        <v>1043</v>
      </c>
      <c r="DR41" s="26" t="s">
        <v>189</v>
      </c>
      <c r="DS41" s="26" t="s">
        <v>189</v>
      </c>
      <c r="DT41" s="26" t="s">
        <v>189</v>
      </c>
      <c r="DU41" s="26" t="s">
        <v>189</v>
      </c>
      <c r="DV41" s="26" t="s">
        <v>203</v>
      </c>
      <c r="DW41" s="26" t="s">
        <v>162</v>
      </c>
      <c r="DX41" s="26" t="s">
        <v>162</v>
      </c>
      <c r="DY41" s="26">
        <v>0</v>
      </c>
      <c r="DZ41" s="26" t="s">
        <v>150</v>
      </c>
      <c r="EH41" s="26" t="s">
        <v>189</v>
      </c>
      <c r="EI41" s="26">
        <v>0.16</v>
      </c>
      <c r="EJ41" s="26">
        <v>52.8752</v>
      </c>
      <c r="EK41" s="26">
        <v>72.72</v>
      </c>
      <c r="EL41" s="26" t="s">
        <v>1044</v>
      </c>
      <c r="EM41" s="26" t="s">
        <v>206</v>
      </c>
      <c r="EN41" s="26" t="s">
        <v>207</v>
      </c>
    </row>
    <row r="42" spans="1:144">
      <c r="A42" s="26" t="s">
        <v>145</v>
      </c>
      <c r="B42" s="26" t="s">
        <v>395</v>
      </c>
      <c r="C42" s="26" t="s">
        <v>1021</v>
      </c>
      <c r="D42" s="26" t="s">
        <v>148</v>
      </c>
      <c r="E42" s="26" t="s">
        <v>149</v>
      </c>
      <c r="G42" s="26" t="s">
        <v>151</v>
      </c>
      <c r="H42" s="26" t="s">
        <v>152</v>
      </c>
      <c r="I42" s="26" t="s">
        <v>153</v>
      </c>
      <c r="J42" s="26" t="s">
        <v>154</v>
      </c>
      <c r="K42" s="26" t="s">
        <v>244</v>
      </c>
      <c r="L42" s="26" t="s">
        <v>366</v>
      </c>
      <c r="M42" s="26" t="s">
        <v>1022</v>
      </c>
      <c r="O42" s="26" t="s">
        <v>1045</v>
      </c>
      <c r="P42" s="26" t="s">
        <v>1046</v>
      </c>
      <c r="S42" s="26" t="s">
        <v>625</v>
      </c>
      <c r="T42" s="26">
        <v>324.337</v>
      </c>
      <c r="U42" s="26" t="s">
        <v>217</v>
      </c>
      <c r="V42" s="26" t="s">
        <v>150</v>
      </c>
      <c r="Y42" s="26" t="s">
        <v>1027</v>
      </c>
      <c r="Z42" s="26">
        <v>49.5708</v>
      </c>
      <c r="AA42" s="26">
        <v>0</v>
      </c>
      <c r="AB42" s="26">
        <v>0</v>
      </c>
      <c r="AC42" s="26">
        <v>75</v>
      </c>
      <c r="AD42" s="26" t="s">
        <v>1047</v>
      </c>
      <c r="AE42" s="26" t="s">
        <v>1047</v>
      </c>
      <c r="AF42" s="26" t="s">
        <v>1047</v>
      </c>
      <c r="AG42" s="26" t="s">
        <v>1029</v>
      </c>
      <c r="AI42" s="26" t="s">
        <v>167</v>
      </c>
      <c r="AJ42" s="26" t="s">
        <v>168</v>
      </c>
      <c r="AK42" s="26" t="s">
        <v>169</v>
      </c>
      <c r="AM42" s="26" t="s">
        <v>1031</v>
      </c>
      <c r="AN42" s="26" t="s">
        <v>172</v>
      </c>
      <c r="AO42" s="26" t="s">
        <v>295</v>
      </c>
      <c r="AP42" s="26" t="s">
        <v>167</v>
      </c>
      <c r="AQ42" s="26" t="s">
        <v>1032</v>
      </c>
      <c r="AR42" s="26" t="s">
        <v>1033</v>
      </c>
      <c r="AS42" s="26" t="s">
        <v>462</v>
      </c>
      <c r="AU42" s="26" t="s">
        <v>1034</v>
      </c>
      <c r="AV42" s="26" t="s">
        <v>1034</v>
      </c>
      <c r="AX42" s="26" t="s">
        <v>1035</v>
      </c>
      <c r="AY42" s="26" t="s">
        <v>179</v>
      </c>
      <c r="BC42" s="26" t="s">
        <v>1021</v>
      </c>
      <c r="BD42" s="26" t="s">
        <v>180</v>
      </c>
      <c r="BE42" s="26" t="s">
        <v>181</v>
      </c>
      <c r="BF42" s="26" t="s">
        <v>167</v>
      </c>
      <c r="BH42" s="26" t="s">
        <v>162</v>
      </c>
      <c r="BI42" s="26" t="s">
        <v>182</v>
      </c>
      <c r="BJ42" s="26" t="s">
        <v>323</v>
      </c>
      <c r="BK42" s="26" t="s">
        <v>264</v>
      </c>
      <c r="BL42" s="26" t="s">
        <v>185</v>
      </c>
      <c r="BM42" s="26" t="s">
        <v>186</v>
      </c>
      <c r="BN42" s="26" t="s">
        <v>162</v>
      </c>
      <c r="BP42" s="26">
        <v>0</v>
      </c>
      <c r="BQ42" s="26" t="s">
        <v>303</v>
      </c>
      <c r="BS42" s="26" t="s">
        <v>304</v>
      </c>
      <c r="BT42" s="26" t="s">
        <v>185</v>
      </c>
      <c r="BV42" s="26">
        <v>52.8752</v>
      </c>
      <c r="BW42" s="26">
        <v>0.16</v>
      </c>
      <c r="BZ42" s="26">
        <v>0</v>
      </c>
      <c r="CA42" s="26" t="s">
        <v>189</v>
      </c>
      <c r="CC42" s="26" t="s">
        <v>162</v>
      </c>
      <c r="CD42" s="26">
        <v>0</v>
      </c>
      <c r="CE42" s="26" t="s">
        <v>190</v>
      </c>
      <c r="CF42" s="26" t="s">
        <v>167</v>
      </c>
      <c r="CG42" s="26" t="s">
        <v>1048</v>
      </c>
      <c r="CI42" s="26" t="s">
        <v>267</v>
      </c>
      <c r="CJ42" s="26">
        <v>330.47</v>
      </c>
      <c r="CK42" s="26">
        <v>0</v>
      </c>
      <c r="CL42" s="26">
        <v>16.52</v>
      </c>
      <c r="CM42" s="26">
        <v>70.72</v>
      </c>
      <c r="CQ42" s="26" t="s">
        <v>192</v>
      </c>
      <c r="CR42" s="26" t="s">
        <v>1037</v>
      </c>
      <c r="CS42" s="26" t="s">
        <v>1038</v>
      </c>
      <c r="CW42" s="26" t="s">
        <v>1039</v>
      </c>
      <c r="CX42" s="26" t="s">
        <v>167</v>
      </c>
      <c r="CY42" s="26" t="s">
        <v>196</v>
      </c>
      <c r="CZ42" s="26">
        <v>0</v>
      </c>
      <c r="DB42" s="26">
        <v>0</v>
      </c>
      <c r="DK42" s="26" t="s">
        <v>150</v>
      </c>
      <c r="DL42" s="26" t="s">
        <v>390</v>
      </c>
      <c r="DM42" s="26" t="s">
        <v>1040</v>
      </c>
      <c r="DN42" s="26" t="s">
        <v>1041</v>
      </c>
      <c r="DO42" s="26" t="s">
        <v>1042</v>
      </c>
      <c r="DP42" s="26" t="s">
        <v>1043</v>
      </c>
      <c r="DR42" s="26" t="s">
        <v>189</v>
      </c>
      <c r="DS42" s="26" t="s">
        <v>189</v>
      </c>
      <c r="DT42" s="26" t="s">
        <v>189</v>
      </c>
      <c r="DU42" s="26" t="s">
        <v>189</v>
      </c>
      <c r="DV42" s="26" t="s">
        <v>203</v>
      </c>
      <c r="DW42" s="26" t="s">
        <v>162</v>
      </c>
      <c r="DX42" s="26" t="s">
        <v>162</v>
      </c>
      <c r="DY42" s="26">
        <v>0</v>
      </c>
      <c r="DZ42" s="26" t="s">
        <v>150</v>
      </c>
      <c r="EH42" s="26" t="s">
        <v>189</v>
      </c>
      <c r="EI42" s="26">
        <v>0.16</v>
      </c>
      <c r="EJ42" s="26">
        <v>52.8752</v>
      </c>
      <c r="EK42" s="26">
        <v>70.72</v>
      </c>
      <c r="EL42" s="26" t="s">
        <v>1049</v>
      </c>
      <c r="EM42" s="26" t="s">
        <v>206</v>
      </c>
      <c r="EN42" s="26" t="s">
        <v>207</v>
      </c>
    </row>
    <row r="43" spans="1:144">
      <c r="A43" s="26" t="s">
        <v>145</v>
      </c>
      <c r="B43" s="26" t="s">
        <v>395</v>
      </c>
      <c r="C43" s="26" t="s">
        <v>1050</v>
      </c>
      <c r="D43" s="26" t="s">
        <v>148</v>
      </c>
      <c r="E43" s="26" t="s">
        <v>149</v>
      </c>
      <c r="G43" s="26" t="s">
        <v>151</v>
      </c>
      <c r="H43" s="26" t="s">
        <v>152</v>
      </c>
      <c r="I43" s="26" t="s">
        <v>153</v>
      </c>
      <c r="J43" s="26" t="s">
        <v>154</v>
      </c>
      <c r="K43" s="26" t="s">
        <v>244</v>
      </c>
      <c r="L43" s="26" t="s">
        <v>765</v>
      </c>
      <c r="M43" s="26" t="s">
        <v>1051</v>
      </c>
      <c r="N43" s="26" t="s">
        <v>1052</v>
      </c>
      <c r="O43" s="26" t="s">
        <v>1053</v>
      </c>
      <c r="P43" s="26" t="s">
        <v>1054</v>
      </c>
      <c r="Q43" s="26" t="s">
        <v>1055</v>
      </c>
      <c r="R43" s="26">
        <v>140.287</v>
      </c>
      <c r="S43" s="26" t="s">
        <v>799</v>
      </c>
      <c r="T43" s="26">
        <v>134.152</v>
      </c>
      <c r="U43" s="26" t="s">
        <v>217</v>
      </c>
      <c r="V43" s="26" t="s">
        <v>150</v>
      </c>
      <c r="Y43" s="26" t="s">
        <v>1056</v>
      </c>
      <c r="Z43" s="26">
        <v>21.04305</v>
      </c>
      <c r="AA43" s="26">
        <v>0</v>
      </c>
      <c r="AB43" s="26">
        <v>0</v>
      </c>
      <c r="AC43" s="26">
        <v>24</v>
      </c>
      <c r="AD43" s="26" t="s">
        <v>1057</v>
      </c>
      <c r="AE43" s="26" t="s">
        <v>1057</v>
      </c>
      <c r="AF43" s="26" t="s">
        <v>1057</v>
      </c>
      <c r="AG43" s="26" t="s">
        <v>291</v>
      </c>
      <c r="AH43" s="26" t="s">
        <v>630</v>
      </c>
      <c r="AI43" s="26" t="s">
        <v>167</v>
      </c>
      <c r="AJ43" s="26" t="s">
        <v>168</v>
      </c>
      <c r="AK43" s="26" t="s">
        <v>169</v>
      </c>
      <c r="AL43" s="26" t="s">
        <v>1058</v>
      </c>
      <c r="AM43" s="26" t="s">
        <v>1059</v>
      </c>
      <c r="AN43" s="26" t="s">
        <v>172</v>
      </c>
      <c r="AO43" s="26" t="s">
        <v>856</v>
      </c>
      <c r="AP43" s="26" t="s">
        <v>167</v>
      </c>
      <c r="AQ43" s="26" t="s">
        <v>1060</v>
      </c>
      <c r="AR43" s="26" t="s">
        <v>1061</v>
      </c>
      <c r="AS43" s="26" t="s">
        <v>381</v>
      </c>
      <c r="AU43" s="26" t="s">
        <v>1062</v>
      </c>
      <c r="AV43" s="26" t="s">
        <v>1062</v>
      </c>
      <c r="AX43" s="26" t="s">
        <v>1063</v>
      </c>
      <c r="AY43" s="26" t="s">
        <v>179</v>
      </c>
      <c r="BC43" s="26" t="s">
        <v>1050</v>
      </c>
      <c r="BD43" s="26" t="s">
        <v>180</v>
      </c>
      <c r="BE43" s="26" t="s">
        <v>181</v>
      </c>
      <c r="BF43" s="26" t="s">
        <v>167</v>
      </c>
      <c r="BH43" s="26" t="s">
        <v>162</v>
      </c>
      <c r="BI43" s="26" t="s">
        <v>182</v>
      </c>
      <c r="BJ43" s="26" t="s">
        <v>1064</v>
      </c>
      <c r="BK43" s="26" t="s">
        <v>184</v>
      </c>
      <c r="BL43" s="26" t="s">
        <v>185</v>
      </c>
      <c r="BM43" s="26" t="s">
        <v>186</v>
      </c>
      <c r="BN43" s="26" t="s">
        <v>162</v>
      </c>
      <c r="BP43" s="26">
        <v>0</v>
      </c>
      <c r="BQ43" s="26" t="s">
        <v>776</v>
      </c>
      <c r="BS43" s="26" t="s">
        <v>230</v>
      </c>
      <c r="BT43" s="26" t="s">
        <v>185</v>
      </c>
      <c r="BV43" s="26">
        <v>22.4464</v>
      </c>
      <c r="BW43" s="26">
        <v>0.16</v>
      </c>
      <c r="BZ43" s="26">
        <v>0</v>
      </c>
      <c r="CA43" s="26" t="s">
        <v>189</v>
      </c>
      <c r="CC43" s="26" t="s">
        <v>162</v>
      </c>
      <c r="CD43" s="26">
        <v>0</v>
      </c>
      <c r="CE43" s="26" t="s">
        <v>190</v>
      </c>
      <c r="CF43" s="26" t="s">
        <v>167</v>
      </c>
      <c r="CG43" s="26" t="s">
        <v>1065</v>
      </c>
      <c r="CI43" s="26" t="s">
        <v>267</v>
      </c>
      <c r="CJ43" s="26">
        <v>140.29</v>
      </c>
      <c r="CK43" s="26">
        <v>0</v>
      </c>
      <c r="CL43" s="26">
        <v>7.01</v>
      </c>
      <c r="CM43" s="26">
        <v>20.09</v>
      </c>
      <c r="CQ43" s="26" t="s">
        <v>233</v>
      </c>
      <c r="CR43" s="26" t="s">
        <v>1066</v>
      </c>
      <c r="CS43" s="26" t="s">
        <v>1067</v>
      </c>
      <c r="CW43" s="26" t="s">
        <v>1068</v>
      </c>
      <c r="CX43" s="26" t="s">
        <v>162</v>
      </c>
      <c r="CY43" s="26" t="s">
        <v>196</v>
      </c>
      <c r="CZ43" s="26">
        <v>0</v>
      </c>
      <c r="DB43" s="26">
        <v>0</v>
      </c>
      <c r="DK43" s="26" t="s">
        <v>150</v>
      </c>
      <c r="DL43" s="26" t="s">
        <v>581</v>
      </c>
      <c r="DM43" s="26" t="s">
        <v>1069</v>
      </c>
      <c r="DN43" s="26" t="s">
        <v>1070</v>
      </c>
      <c r="DO43" s="26" t="s">
        <v>1071</v>
      </c>
      <c r="DP43" s="26" t="s">
        <v>1072</v>
      </c>
      <c r="DR43" s="26" t="s">
        <v>189</v>
      </c>
      <c r="DS43" s="26" t="s">
        <v>189</v>
      </c>
      <c r="DT43" s="26" t="s">
        <v>189</v>
      </c>
      <c r="DU43" s="26" t="s">
        <v>189</v>
      </c>
      <c r="DV43" s="26" t="s">
        <v>203</v>
      </c>
      <c r="DW43" s="26" t="s">
        <v>162</v>
      </c>
      <c r="DX43" s="26" t="s">
        <v>162</v>
      </c>
      <c r="DY43" s="26">
        <v>0</v>
      </c>
      <c r="DZ43" s="26" t="s">
        <v>150</v>
      </c>
      <c r="EH43" s="26" t="s">
        <v>189</v>
      </c>
      <c r="EI43" s="26">
        <v>0.16</v>
      </c>
      <c r="EJ43" s="26">
        <v>22.4464</v>
      </c>
      <c r="EK43" s="26">
        <v>20.09</v>
      </c>
      <c r="EL43" s="26" t="s">
        <v>1073</v>
      </c>
      <c r="EM43" s="26" t="s">
        <v>206</v>
      </c>
      <c r="EN43" s="26" t="s">
        <v>207</v>
      </c>
    </row>
    <row r="44" spans="1:144">
      <c r="A44" s="26" t="s">
        <v>145</v>
      </c>
      <c r="B44" s="26" t="s">
        <v>395</v>
      </c>
      <c r="C44" s="26" t="s">
        <v>1074</v>
      </c>
      <c r="D44" s="26" t="s">
        <v>148</v>
      </c>
      <c r="E44" s="26" t="s">
        <v>149</v>
      </c>
      <c r="G44" s="26" t="s">
        <v>151</v>
      </c>
      <c r="H44" s="26" t="s">
        <v>152</v>
      </c>
      <c r="I44" s="26" t="s">
        <v>153</v>
      </c>
      <c r="J44" s="26" t="s">
        <v>154</v>
      </c>
      <c r="K44" s="26" t="s">
        <v>1075</v>
      </c>
      <c r="L44" s="26" t="s">
        <v>1076</v>
      </c>
      <c r="M44" s="26" t="s">
        <v>1077</v>
      </c>
      <c r="N44" s="26" t="s">
        <v>1078</v>
      </c>
      <c r="O44" s="26" t="s">
        <v>1079</v>
      </c>
      <c r="P44" s="26" t="s">
        <v>1080</v>
      </c>
      <c r="Q44" s="26" t="s">
        <v>933</v>
      </c>
      <c r="R44" s="26">
        <v>245.4</v>
      </c>
      <c r="S44" s="26" t="s">
        <v>1081</v>
      </c>
      <c r="T44" s="26">
        <v>116.565</v>
      </c>
      <c r="U44" s="26" t="s">
        <v>217</v>
      </c>
      <c r="V44" s="26" t="s">
        <v>150</v>
      </c>
      <c r="Y44" s="26" t="s">
        <v>1082</v>
      </c>
      <c r="Z44" s="26">
        <v>18.405</v>
      </c>
      <c r="AA44" s="26">
        <v>0</v>
      </c>
      <c r="AB44" s="26">
        <v>0</v>
      </c>
      <c r="AC44" s="26">
        <v>26.5</v>
      </c>
      <c r="AD44" s="26" t="s">
        <v>1083</v>
      </c>
      <c r="AE44" s="26" t="s">
        <v>1083</v>
      </c>
      <c r="AF44" s="26" t="s">
        <v>1083</v>
      </c>
      <c r="AG44" s="26" t="s">
        <v>1084</v>
      </c>
      <c r="AI44" s="26" t="s">
        <v>167</v>
      </c>
      <c r="AJ44" s="26" t="s">
        <v>168</v>
      </c>
      <c r="AK44" s="26" t="s">
        <v>169</v>
      </c>
      <c r="AL44" s="26" t="s">
        <v>1085</v>
      </c>
      <c r="AM44" s="26" t="s">
        <v>1086</v>
      </c>
      <c r="AN44" s="26" t="s">
        <v>172</v>
      </c>
      <c r="AO44" s="26" t="s">
        <v>1087</v>
      </c>
      <c r="AP44" s="26" t="s">
        <v>162</v>
      </c>
      <c r="AQ44" s="26" t="s">
        <v>1088</v>
      </c>
      <c r="AR44" s="26" t="s">
        <v>1089</v>
      </c>
      <c r="AS44" s="26" t="s">
        <v>1090</v>
      </c>
      <c r="AU44" s="26" t="s">
        <v>1091</v>
      </c>
      <c r="AV44" s="26" t="s">
        <v>1091</v>
      </c>
      <c r="AX44" s="26" t="s">
        <v>1092</v>
      </c>
      <c r="AY44" s="26" t="s">
        <v>179</v>
      </c>
      <c r="BC44" s="26" t="s">
        <v>1074</v>
      </c>
      <c r="BD44" s="26" t="s">
        <v>180</v>
      </c>
      <c r="BE44" s="26" t="s">
        <v>1007</v>
      </c>
      <c r="BF44" s="26" t="s">
        <v>167</v>
      </c>
      <c r="BH44" s="26" t="s">
        <v>162</v>
      </c>
      <c r="BI44" s="26" t="s">
        <v>182</v>
      </c>
      <c r="BJ44" s="26" t="s">
        <v>1093</v>
      </c>
      <c r="BK44" s="26" t="s">
        <v>264</v>
      </c>
      <c r="BL44" s="26" t="s">
        <v>185</v>
      </c>
      <c r="BM44" s="26" t="s">
        <v>186</v>
      </c>
      <c r="BN44" s="26" t="s">
        <v>162</v>
      </c>
      <c r="BP44" s="26">
        <v>0</v>
      </c>
      <c r="BQ44" s="26" t="s">
        <v>776</v>
      </c>
      <c r="BS44" s="26" t="s">
        <v>354</v>
      </c>
      <c r="BT44" s="26" t="s">
        <v>185</v>
      </c>
      <c r="BV44" s="26">
        <v>17.178</v>
      </c>
      <c r="BW44" s="26">
        <v>0.14</v>
      </c>
      <c r="BZ44" s="26">
        <v>0</v>
      </c>
      <c r="CA44" s="26" t="s">
        <v>189</v>
      </c>
      <c r="CC44" s="26" t="s">
        <v>162</v>
      </c>
      <c r="CD44" s="26">
        <v>0</v>
      </c>
      <c r="CE44" s="26" t="s">
        <v>190</v>
      </c>
      <c r="CF44" s="26" t="s">
        <v>167</v>
      </c>
      <c r="CG44" s="26" t="s">
        <v>1094</v>
      </c>
      <c r="CI44" s="26" t="s">
        <v>1095</v>
      </c>
      <c r="CJ44" s="26">
        <v>122.7</v>
      </c>
      <c r="CK44" s="26">
        <v>0</v>
      </c>
      <c r="CL44" s="26">
        <v>6.14</v>
      </c>
      <c r="CM44" s="26">
        <v>31.67</v>
      </c>
      <c r="CQ44" s="26" t="s">
        <v>192</v>
      </c>
      <c r="CR44" s="26" t="s">
        <v>1096</v>
      </c>
      <c r="CS44" s="26" t="s">
        <v>1097</v>
      </c>
      <c r="CW44" s="26" t="s">
        <v>1098</v>
      </c>
      <c r="CX44" s="26" t="s">
        <v>162</v>
      </c>
      <c r="CY44" s="26" t="s">
        <v>196</v>
      </c>
      <c r="CZ44" s="26">
        <v>0</v>
      </c>
      <c r="DB44" s="26">
        <v>0</v>
      </c>
      <c r="DK44" s="26" t="s">
        <v>150</v>
      </c>
      <c r="DL44" s="26" t="s">
        <v>542</v>
      </c>
      <c r="DM44" s="26" t="s">
        <v>1099</v>
      </c>
      <c r="DN44" s="26" t="s">
        <v>1100</v>
      </c>
      <c r="DO44" s="26" t="s">
        <v>1071</v>
      </c>
      <c r="DP44" s="26" t="s">
        <v>1101</v>
      </c>
      <c r="DR44" s="26" t="s">
        <v>189</v>
      </c>
      <c r="DS44" s="26" t="s">
        <v>189</v>
      </c>
      <c r="DT44" s="26" t="s">
        <v>189</v>
      </c>
      <c r="DU44" s="26" t="s">
        <v>189</v>
      </c>
      <c r="DV44" s="26" t="s">
        <v>203</v>
      </c>
      <c r="DW44" s="26" t="s">
        <v>162</v>
      </c>
      <c r="DX44" s="26" t="s">
        <v>162</v>
      </c>
      <c r="DY44" s="26">
        <v>0</v>
      </c>
      <c r="DZ44" s="26" t="s">
        <v>150</v>
      </c>
      <c r="EH44" s="26" t="s">
        <v>189</v>
      </c>
      <c r="EI44" s="26">
        <v>0.14</v>
      </c>
      <c r="EJ44" s="26">
        <v>17.178</v>
      </c>
      <c r="EK44" s="26">
        <v>31.67</v>
      </c>
      <c r="EL44" s="26" t="s">
        <v>1102</v>
      </c>
      <c r="EM44" s="26" t="s">
        <v>206</v>
      </c>
      <c r="EN44" s="26" t="s">
        <v>207</v>
      </c>
    </row>
    <row r="45" spans="1:144">
      <c r="A45" s="26" t="s">
        <v>145</v>
      </c>
      <c r="B45" s="26" t="s">
        <v>395</v>
      </c>
      <c r="C45" s="26" t="s">
        <v>1074</v>
      </c>
      <c r="D45" s="26" t="s">
        <v>148</v>
      </c>
      <c r="E45" s="26" t="s">
        <v>149</v>
      </c>
      <c r="G45" s="26" t="s">
        <v>151</v>
      </c>
      <c r="H45" s="26" t="s">
        <v>152</v>
      </c>
      <c r="I45" s="26" t="s">
        <v>153</v>
      </c>
      <c r="J45" s="26" t="s">
        <v>154</v>
      </c>
      <c r="K45" s="26" t="s">
        <v>1075</v>
      </c>
      <c r="L45" s="26" t="s">
        <v>1076</v>
      </c>
      <c r="M45" s="26" t="s">
        <v>1077</v>
      </c>
      <c r="O45" s="26" t="s">
        <v>1103</v>
      </c>
      <c r="P45" s="26" t="s">
        <v>1104</v>
      </c>
      <c r="S45" s="26" t="s">
        <v>1081</v>
      </c>
      <c r="T45" s="26">
        <v>116.565</v>
      </c>
      <c r="U45" s="26" t="s">
        <v>217</v>
      </c>
      <c r="V45" s="26" t="s">
        <v>150</v>
      </c>
      <c r="Y45" s="26" t="s">
        <v>1082</v>
      </c>
      <c r="Z45" s="26">
        <v>18.405</v>
      </c>
      <c r="AA45" s="26">
        <v>0</v>
      </c>
      <c r="AB45" s="26">
        <v>0</v>
      </c>
      <c r="AC45" s="26">
        <v>26.5</v>
      </c>
      <c r="AD45" s="26" t="s">
        <v>1083</v>
      </c>
      <c r="AE45" s="26" t="s">
        <v>1083</v>
      </c>
      <c r="AF45" s="26" t="s">
        <v>1083</v>
      </c>
      <c r="AG45" s="26" t="s">
        <v>1105</v>
      </c>
      <c r="AI45" s="26" t="s">
        <v>167</v>
      </c>
      <c r="AJ45" s="26" t="s">
        <v>168</v>
      </c>
      <c r="AK45" s="26" t="s">
        <v>169</v>
      </c>
      <c r="AM45" s="26" t="s">
        <v>1106</v>
      </c>
      <c r="AN45" s="26" t="s">
        <v>172</v>
      </c>
      <c r="AO45" s="26" t="s">
        <v>1087</v>
      </c>
      <c r="AP45" s="26" t="s">
        <v>162</v>
      </c>
      <c r="AQ45" s="26" t="s">
        <v>1088</v>
      </c>
      <c r="AR45" s="26" t="s">
        <v>1089</v>
      </c>
      <c r="AS45" s="26" t="s">
        <v>1090</v>
      </c>
      <c r="AU45" s="26" t="s">
        <v>1091</v>
      </c>
      <c r="AV45" s="26" t="s">
        <v>1091</v>
      </c>
      <c r="AX45" s="26" t="s">
        <v>1092</v>
      </c>
      <c r="AY45" s="26" t="s">
        <v>179</v>
      </c>
      <c r="BC45" s="26" t="s">
        <v>1074</v>
      </c>
      <c r="BD45" s="26" t="s">
        <v>180</v>
      </c>
      <c r="BE45" s="26" t="s">
        <v>1007</v>
      </c>
      <c r="BF45" s="26" t="s">
        <v>167</v>
      </c>
      <c r="BH45" s="26" t="s">
        <v>162</v>
      </c>
      <c r="BI45" s="26" t="s">
        <v>182</v>
      </c>
      <c r="BJ45" s="26" t="s">
        <v>1093</v>
      </c>
      <c r="BK45" s="26" t="s">
        <v>264</v>
      </c>
      <c r="BL45" s="26" t="s">
        <v>185</v>
      </c>
      <c r="BM45" s="26" t="s">
        <v>186</v>
      </c>
      <c r="BN45" s="26" t="s">
        <v>162</v>
      </c>
      <c r="BP45" s="26">
        <v>0</v>
      </c>
      <c r="BQ45" s="26" t="s">
        <v>776</v>
      </c>
      <c r="BS45" s="26" t="s">
        <v>354</v>
      </c>
      <c r="BT45" s="26" t="s">
        <v>185</v>
      </c>
      <c r="BV45" s="26">
        <v>17.178</v>
      </c>
      <c r="BW45" s="26">
        <v>0.14</v>
      </c>
      <c r="BZ45" s="26">
        <v>0</v>
      </c>
      <c r="CA45" s="26" t="s">
        <v>189</v>
      </c>
      <c r="CC45" s="26" t="s">
        <v>162</v>
      </c>
      <c r="CD45" s="26">
        <v>0</v>
      </c>
      <c r="CE45" s="26" t="s">
        <v>190</v>
      </c>
      <c r="CF45" s="26" t="s">
        <v>195</v>
      </c>
      <c r="CG45" s="26" t="s">
        <v>1094</v>
      </c>
      <c r="CI45" s="26" t="s">
        <v>1095</v>
      </c>
      <c r="CJ45" s="26">
        <v>122.7</v>
      </c>
      <c r="CK45" s="26">
        <v>0</v>
      </c>
      <c r="CL45" s="26">
        <v>6.14</v>
      </c>
      <c r="CM45" s="26">
        <v>32.04</v>
      </c>
      <c r="CQ45" s="26" t="s">
        <v>192</v>
      </c>
      <c r="CR45" s="26" t="s">
        <v>1096</v>
      </c>
      <c r="CS45" s="26" t="s">
        <v>1097</v>
      </c>
      <c r="CW45" s="26" t="s">
        <v>1098</v>
      </c>
      <c r="CX45" s="26" t="s">
        <v>162</v>
      </c>
      <c r="CY45" s="26" t="s">
        <v>196</v>
      </c>
      <c r="CZ45" s="26">
        <v>0</v>
      </c>
      <c r="DB45" s="26">
        <v>0</v>
      </c>
      <c r="DK45" s="26" t="s">
        <v>150</v>
      </c>
      <c r="DL45" s="26" t="s">
        <v>542</v>
      </c>
      <c r="DM45" s="26" t="s">
        <v>1099</v>
      </c>
      <c r="DN45" s="26" t="s">
        <v>1100</v>
      </c>
      <c r="DO45" s="26" t="s">
        <v>1071</v>
      </c>
      <c r="DP45" s="26" t="s">
        <v>1101</v>
      </c>
      <c r="DR45" s="26" t="s">
        <v>189</v>
      </c>
      <c r="DS45" s="26" t="s">
        <v>189</v>
      </c>
      <c r="DT45" s="26" t="s">
        <v>189</v>
      </c>
      <c r="DU45" s="26" t="s">
        <v>189</v>
      </c>
      <c r="DV45" s="26" t="s">
        <v>203</v>
      </c>
      <c r="DW45" s="26" t="s">
        <v>162</v>
      </c>
      <c r="DX45" s="26" t="s">
        <v>162</v>
      </c>
      <c r="DY45" s="26">
        <v>0</v>
      </c>
      <c r="DZ45" s="26" t="s">
        <v>150</v>
      </c>
      <c r="EH45" s="26" t="s">
        <v>189</v>
      </c>
      <c r="EI45" s="26">
        <v>0.14</v>
      </c>
      <c r="EJ45" s="26">
        <v>17.178</v>
      </c>
      <c r="EK45" s="26">
        <v>32.04</v>
      </c>
      <c r="EL45" s="26" t="s">
        <v>1107</v>
      </c>
      <c r="EM45" s="26" t="s">
        <v>206</v>
      </c>
      <c r="EN45" s="26" t="s">
        <v>207</v>
      </c>
    </row>
    <row r="46" spans="1:144">
      <c r="A46" s="26" t="s">
        <v>145</v>
      </c>
      <c r="B46" s="26" t="s">
        <v>395</v>
      </c>
      <c r="C46" s="26" t="s">
        <v>1108</v>
      </c>
      <c r="D46" s="26" t="s">
        <v>148</v>
      </c>
      <c r="E46" s="26" t="s">
        <v>149</v>
      </c>
      <c r="G46" s="26" t="s">
        <v>151</v>
      </c>
      <c r="H46" s="26" t="s">
        <v>152</v>
      </c>
      <c r="I46" s="26" t="s">
        <v>153</v>
      </c>
      <c r="J46" s="26" t="s">
        <v>154</v>
      </c>
      <c r="K46" s="26" t="s">
        <v>155</v>
      </c>
      <c r="L46" s="26" t="s">
        <v>1109</v>
      </c>
      <c r="M46" s="26" t="s">
        <v>1110</v>
      </c>
      <c r="N46" s="26" t="s">
        <v>1111</v>
      </c>
      <c r="O46" s="26" t="s">
        <v>1112</v>
      </c>
      <c r="P46" s="26" t="s">
        <v>1113</v>
      </c>
      <c r="Q46" s="26" t="s">
        <v>657</v>
      </c>
      <c r="R46" s="26">
        <v>207.772</v>
      </c>
      <c r="S46" s="26" t="s">
        <v>1114</v>
      </c>
      <c r="T46" s="26">
        <v>201.637</v>
      </c>
      <c r="U46" s="26" t="s">
        <v>217</v>
      </c>
      <c r="V46" s="26" t="s">
        <v>150</v>
      </c>
      <c r="Y46" s="26" t="s">
        <v>1115</v>
      </c>
      <c r="Z46" s="26">
        <v>31.1658</v>
      </c>
      <c r="AA46" s="26">
        <v>0</v>
      </c>
      <c r="AB46" s="26">
        <v>0</v>
      </c>
      <c r="AC46" s="26">
        <v>40</v>
      </c>
      <c r="AD46" s="26" t="s">
        <v>553</v>
      </c>
      <c r="AE46" s="26" t="s">
        <v>553</v>
      </c>
      <c r="AF46" s="26" t="s">
        <v>553</v>
      </c>
      <c r="AG46" s="26" t="s">
        <v>1116</v>
      </c>
      <c r="AI46" s="26" t="s">
        <v>167</v>
      </c>
      <c r="AJ46" s="26" t="s">
        <v>168</v>
      </c>
      <c r="AK46" s="26" t="s">
        <v>169</v>
      </c>
      <c r="AL46" s="26" t="s">
        <v>431</v>
      </c>
      <c r="AM46" s="26" t="s">
        <v>1117</v>
      </c>
      <c r="AN46" s="26" t="s">
        <v>172</v>
      </c>
      <c r="AO46" s="26" t="s">
        <v>257</v>
      </c>
      <c r="AP46" s="26" t="s">
        <v>162</v>
      </c>
      <c r="AQ46" s="26" t="s">
        <v>1118</v>
      </c>
      <c r="AR46" s="26" t="s">
        <v>1119</v>
      </c>
      <c r="AS46" s="26" t="s">
        <v>909</v>
      </c>
      <c r="AU46" s="26" t="s">
        <v>1120</v>
      </c>
      <c r="AV46" s="26" t="s">
        <v>1120</v>
      </c>
      <c r="AX46" s="26" t="s">
        <v>1121</v>
      </c>
      <c r="AY46" s="26" t="s">
        <v>179</v>
      </c>
      <c r="BC46" s="26" t="s">
        <v>1108</v>
      </c>
      <c r="BD46" s="26" t="s">
        <v>180</v>
      </c>
      <c r="BE46" s="26" t="s">
        <v>181</v>
      </c>
      <c r="BF46" s="26" t="s">
        <v>167</v>
      </c>
      <c r="BH46" s="26" t="s">
        <v>162</v>
      </c>
      <c r="BI46" s="26" t="s">
        <v>182</v>
      </c>
      <c r="BJ46" s="26" t="s">
        <v>1122</v>
      </c>
      <c r="BK46" s="26" t="s">
        <v>184</v>
      </c>
      <c r="BL46" s="26" t="s">
        <v>185</v>
      </c>
      <c r="BM46" s="26" t="s">
        <v>186</v>
      </c>
      <c r="BN46" s="26" t="s">
        <v>162</v>
      </c>
      <c r="BP46" s="26">
        <v>0</v>
      </c>
      <c r="BQ46" s="26" t="s">
        <v>265</v>
      </c>
      <c r="BS46" s="26" t="s">
        <v>188</v>
      </c>
      <c r="BT46" s="26" t="s">
        <v>185</v>
      </c>
      <c r="BV46" s="26">
        <v>33.2432</v>
      </c>
      <c r="BW46" s="26">
        <v>0.16</v>
      </c>
      <c r="BZ46" s="26">
        <v>0</v>
      </c>
      <c r="CA46" s="26" t="s">
        <v>189</v>
      </c>
      <c r="CC46" s="26" t="s">
        <v>162</v>
      </c>
      <c r="CD46" s="26">
        <v>0</v>
      </c>
      <c r="CE46" s="26" t="s">
        <v>190</v>
      </c>
      <c r="CF46" s="26" t="s">
        <v>167</v>
      </c>
      <c r="CG46" s="26" t="s">
        <v>1123</v>
      </c>
      <c r="CI46" s="26" t="s">
        <v>191</v>
      </c>
      <c r="CJ46" s="26">
        <v>207.77</v>
      </c>
      <c r="CK46" s="26">
        <v>0</v>
      </c>
      <c r="CL46" s="26">
        <v>10.39</v>
      </c>
      <c r="CM46" s="26">
        <v>28.1</v>
      </c>
      <c r="CQ46" s="26" t="s">
        <v>605</v>
      </c>
      <c r="CR46" s="26" t="s">
        <v>1124</v>
      </c>
      <c r="CS46" s="26" t="s">
        <v>1125</v>
      </c>
      <c r="CW46" s="26" t="s">
        <v>1126</v>
      </c>
      <c r="CX46" s="26" t="s">
        <v>167</v>
      </c>
      <c r="CY46" s="26" t="s">
        <v>196</v>
      </c>
      <c r="CZ46" s="26">
        <v>0</v>
      </c>
      <c r="DB46" s="26">
        <v>0</v>
      </c>
      <c r="DK46" s="26" t="s">
        <v>150</v>
      </c>
      <c r="DL46" s="26" t="s">
        <v>729</v>
      </c>
      <c r="DM46" s="26" t="s">
        <v>1127</v>
      </c>
      <c r="DN46" s="26" t="s">
        <v>1128</v>
      </c>
      <c r="DO46" s="26" t="s">
        <v>1071</v>
      </c>
      <c r="DP46" s="26" t="s">
        <v>1129</v>
      </c>
      <c r="DR46" s="26" t="s">
        <v>189</v>
      </c>
      <c r="DS46" s="26" t="s">
        <v>189</v>
      </c>
      <c r="DT46" s="26" t="s">
        <v>189</v>
      </c>
      <c r="DU46" s="26" t="s">
        <v>189</v>
      </c>
      <c r="DV46" s="26" t="s">
        <v>203</v>
      </c>
      <c r="DW46" s="26" t="s">
        <v>162</v>
      </c>
      <c r="DX46" s="26" t="s">
        <v>162</v>
      </c>
      <c r="DY46" s="26">
        <v>0</v>
      </c>
      <c r="DZ46" s="26" t="s">
        <v>150</v>
      </c>
      <c r="EH46" s="26" t="s">
        <v>189</v>
      </c>
      <c r="EI46" s="26">
        <v>0.16</v>
      </c>
      <c r="EJ46" s="26">
        <v>33.2432</v>
      </c>
      <c r="EK46" s="26">
        <v>28.1</v>
      </c>
      <c r="EL46" s="26" t="s">
        <v>1130</v>
      </c>
      <c r="EM46" s="26" t="s">
        <v>206</v>
      </c>
      <c r="EN46" s="26" t="s">
        <v>207</v>
      </c>
    </row>
    <row r="47" spans="1:144">
      <c r="A47" s="26" t="s">
        <v>145</v>
      </c>
      <c r="B47" s="26" t="s">
        <v>395</v>
      </c>
      <c r="C47" s="26" t="s">
        <v>1131</v>
      </c>
      <c r="D47" s="26" t="s">
        <v>148</v>
      </c>
      <c r="E47" s="26" t="s">
        <v>149</v>
      </c>
      <c r="G47" s="26" t="s">
        <v>151</v>
      </c>
      <c r="H47" s="26" t="s">
        <v>152</v>
      </c>
      <c r="I47" s="26" t="s">
        <v>153</v>
      </c>
      <c r="J47" s="26" t="s">
        <v>154</v>
      </c>
      <c r="K47" s="26" t="s">
        <v>155</v>
      </c>
      <c r="L47" s="26" t="s">
        <v>1132</v>
      </c>
      <c r="M47" s="26" t="s">
        <v>1133</v>
      </c>
      <c r="N47" s="26" t="s">
        <v>1134</v>
      </c>
      <c r="O47" s="26" t="s">
        <v>1135</v>
      </c>
      <c r="P47" s="26" t="s">
        <v>1136</v>
      </c>
      <c r="Q47" s="26" t="s">
        <v>1137</v>
      </c>
      <c r="R47" s="26">
        <v>161.964</v>
      </c>
      <c r="S47" s="26" t="s">
        <v>1138</v>
      </c>
      <c r="T47" s="26">
        <v>155.829</v>
      </c>
      <c r="U47" s="26" t="s">
        <v>217</v>
      </c>
      <c r="V47" s="26" t="s">
        <v>150</v>
      </c>
      <c r="Y47" s="26" t="s">
        <v>1139</v>
      </c>
      <c r="Z47" s="26">
        <v>24.2946</v>
      </c>
      <c r="AA47" s="26">
        <v>0</v>
      </c>
      <c r="AB47" s="26">
        <v>0</v>
      </c>
      <c r="AC47" s="26">
        <v>28</v>
      </c>
      <c r="AD47" s="26" t="s">
        <v>1140</v>
      </c>
      <c r="AE47" s="26" t="s">
        <v>1140</v>
      </c>
      <c r="AF47" s="26" t="s">
        <v>1140</v>
      </c>
      <c r="AG47" s="26" t="s">
        <v>1141</v>
      </c>
      <c r="AI47" s="26" t="s">
        <v>167</v>
      </c>
      <c r="AJ47" s="26" t="s">
        <v>168</v>
      </c>
      <c r="AK47" s="26" t="s">
        <v>169</v>
      </c>
      <c r="AL47" s="26" t="s">
        <v>1142</v>
      </c>
      <c r="AM47" s="26" t="s">
        <v>171</v>
      </c>
      <c r="AN47" s="26" t="s">
        <v>172</v>
      </c>
      <c r="AO47" s="26" t="s">
        <v>257</v>
      </c>
      <c r="AP47" s="26" t="s">
        <v>162</v>
      </c>
      <c r="AQ47" s="26" t="s">
        <v>1143</v>
      </c>
      <c r="AR47" s="26" t="s">
        <v>1144</v>
      </c>
      <c r="AS47" s="26" t="s">
        <v>937</v>
      </c>
      <c r="AU47" s="26" t="s">
        <v>1145</v>
      </c>
      <c r="AV47" s="26" t="s">
        <v>1145</v>
      </c>
      <c r="AX47" s="26" t="s">
        <v>1146</v>
      </c>
      <c r="AY47" s="26" t="s">
        <v>179</v>
      </c>
      <c r="BC47" s="26" t="s">
        <v>1131</v>
      </c>
      <c r="BD47" s="26" t="s">
        <v>180</v>
      </c>
      <c r="BE47" s="26" t="s">
        <v>181</v>
      </c>
      <c r="BF47" s="26" t="s">
        <v>167</v>
      </c>
      <c r="BH47" s="26" t="s">
        <v>162</v>
      </c>
      <c r="BI47" s="26" t="s">
        <v>182</v>
      </c>
      <c r="BJ47" s="26" t="s">
        <v>1147</v>
      </c>
      <c r="BK47" s="26" t="s">
        <v>184</v>
      </c>
      <c r="BL47" s="26" t="s">
        <v>185</v>
      </c>
      <c r="BM47" s="26" t="s">
        <v>186</v>
      </c>
      <c r="BN47" s="26" t="s">
        <v>162</v>
      </c>
      <c r="BP47" s="26">
        <v>0</v>
      </c>
      <c r="BQ47" s="26" t="s">
        <v>265</v>
      </c>
      <c r="BS47" s="26" t="s">
        <v>188</v>
      </c>
      <c r="BT47" s="26" t="s">
        <v>185</v>
      </c>
      <c r="BV47" s="26">
        <v>25.9136</v>
      </c>
      <c r="BW47" s="26">
        <v>0.16</v>
      </c>
      <c r="BZ47" s="26">
        <v>0</v>
      </c>
      <c r="CA47" s="26" t="s">
        <v>189</v>
      </c>
      <c r="CC47" s="26" t="s">
        <v>162</v>
      </c>
      <c r="CD47" s="26">
        <v>0</v>
      </c>
      <c r="CE47" s="26" t="s">
        <v>190</v>
      </c>
      <c r="CF47" s="26" t="s">
        <v>167</v>
      </c>
      <c r="CG47" s="26" t="s">
        <v>1148</v>
      </c>
      <c r="CI47" s="26" t="s">
        <v>191</v>
      </c>
      <c r="CJ47" s="26">
        <v>161.96</v>
      </c>
      <c r="CK47" s="26">
        <v>0</v>
      </c>
      <c r="CL47" s="26">
        <v>8.1</v>
      </c>
      <c r="CM47" s="26">
        <v>23.86</v>
      </c>
      <c r="CQ47" s="26" t="s">
        <v>437</v>
      </c>
      <c r="CR47" s="26" t="s">
        <v>1149</v>
      </c>
      <c r="CS47" s="26" t="s">
        <v>1150</v>
      </c>
      <c r="CW47" s="26" t="s">
        <v>1151</v>
      </c>
      <c r="CX47" s="26" t="s">
        <v>167</v>
      </c>
      <c r="CY47" s="26" t="s">
        <v>196</v>
      </c>
      <c r="CZ47" s="26">
        <v>0</v>
      </c>
      <c r="DB47" s="26">
        <v>0</v>
      </c>
      <c r="DK47" s="26" t="s">
        <v>150</v>
      </c>
      <c r="DL47" s="26" t="s">
        <v>729</v>
      </c>
      <c r="DM47" s="26" t="s">
        <v>1127</v>
      </c>
      <c r="DN47" s="26" t="s">
        <v>1152</v>
      </c>
      <c r="DO47" s="26" t="s">
        <v>1071</v>
      </c>
      <c r="DP47" s="26" t="s">
        <v>1153</v>
      </c>
      <c r="DR47" s="26" t="s">
        <v>189</v>
      </c>
      <c r="DS47" s="26" t="s">
        <v>189</v>
      </c>
      <c r="DT47" s="26" t="s">
        <v>189</v>
      </c>
      <c r="DU47" s="26" t="s">
        <v>189</v>
      </c>
      <c r="DV47" s="26" t="s">
        <v>203</v>
      </c>
      <c r="DW47" s="26" t="s">
        <v>162</v>
      </c>
      <c r="DX47" s="26" t="s">
        <v>162</v>
      </c>
      <c r="DY47" s="26">
        <v>0</v>
      </c>
      <c r="DZ47" s="26" t="s">
        <v>150</v>
      </c>
      <c r="EH47" s="26" t="s">
        <v>189</v>
      </c>
      <c r="EI47" s="26">
        <v>0.16</v>
      </c>
      <c r="EJ47" s="26">
        <v>25.9136</v>
      </c>
      <c r="EK47" s="26">
        <v>23.86</v>
      </c>
      <c r="EL47" s="26" t="s">
        <v>1154</v>
      </c>
      <c r="EM47" s="26" t="s">
        <v>206</v>
      </c>
      <c r="EN47" s="26" t="s">
        <v>207</v>
      </c>
    </row>
    <row r="48" spans="1:144">
      <c r="A48" s="26" t="s">
        <v>145</v>
      </c>
      <c r="B48" s="26" t="s">
        <v>395</v>
      </c>
      <c r="C48" s="26" t="s">
        <v>1155</v>
      </c>
      <c r="D48" s="26" t="s">
        <v>148</v>
      </c>
      <c r="E48" s="26" t="s">
        <v>149</v>
      </c>
      <c r="G48" s="26" t="s">
        <v>151</v>
      </c>
      <c r="H48" s="26" t="s">
        <v>152</v>
      </c>
      <c r="I48" s="26" t="s">
        <v>153</v>
      </c>
      <c r="J48" s="26" t="s">
        <v>154</v>
      </c>
      <c r="K48" s="26" t="s">
        <v>244</v>
      </c>
      <c r="L48" s="26" t="s">
        <v>549</v>
      </c>
      <c r="M48" s="26" t="s">
        <v>1156</v>
      </c>
      <c r="N48" s="26" t="s">
        <v>1157</v>
      </c>
      <c r="O48" s="26" t="s">
        <v>1158</v>
      </c>
      <c r="P48" s="26" t="s">
        <v>1159</v>
      </c>
      <c r="Q48" s="26" t="s">
        <v>319</v>
      </c>
      <c r="R48" s="26">
        <v>182.414</v>
      </c>
      <c r="S48" s="26" t="s">
        <v>323</v>
      </c>
      <c r="T48" s="26">
        <v>176.279</v>
      </c>
      <c r="U48" s="26" t="s">
        <v>217</v>
      </c>
      <c r="V48" s="26" t="s">
        <v>150</v>
      </c>
      <c r="Y48" s="26" t="s">
        <v>1160</v>
      </c>
      <c r="Z48" s="26">
        <v>27.3621</v>
      </c>
      <c r="AA48" s="26">
        <v>0</v>
      </c>
      <c r="AB48" s="26">
        <v>0</v>
      </c>
      <c r="AC48" s="26">
        <v>33</v>
      </c>
      <c r="AD48" s="26" t="s">
        <v>1161</v>
      </c>
      <c r="AE48" s="26" t="s">
        <v>1162</v>
      </c>
      <c r="AF48" s="26" t="s">
        <v>1162</v>
      </c>
      <c r="AG48" s="26" t="s">
        <v>1163</v>
      </c>
      <c r="AI48" s="26" t="s">
        <v>167</v>
      </c>
      <c r="AJ48" s="26" t="s">
        <v>168</v>
      </c>
      <c r="AK48" s="26" t="s">
        <v>169</v>
      </c>
      <c r="AL48" s="26" t="s">
        <v>481</v>
      </c>
      <c r="AM48" s="26" t="s">
        <v>885</v>
      </c>
      <c r="AN48" s="26" t="s">
        <v>172</v>
      </c>
      <c r="AO48" s="26" t="s">
        <v>1164</v>
      </c>
      <c r="AP48" s="26" t="s">
        <v>162</v>
      </c>
      <c r="AQ48" s="26" t="s">
        <v>1165</v>
      </c>
      <c r="AR48" s="26" t="s">
        <v>1166</v>
      </c>
      <c r="AS48" s="26" t="s">
        <v>859</v>
      </c>
      <c r="AT48" s="26" t="s">
        <v>1167</v>
      </c>
      <c r="AU48" s="26" t="s">
        <v>1168</v>
      </c>
      <c r="AV48" s="26" t="s">
        <v>1168</v>
      </c>
      <c r="AX48" s="26" t="s">
        <v>1169</v>
      </c>
      <c r="AY48" s="26" t="s">
        <v>179</v>
      </c>
      <c r="BC48" s="26" t="s">
        <v>1155</v>
      </c>
      <c r="BD48" s="26" t="s">
        <v>180</v>
      </c>
      <c r="BE48" s="26" t="s">
        <v>181</v>
      </c>
      <c r="BF48" s="26" t="s">
        <v>167</v>
      </c>
      <c r="BH48" s="26" t="s">
        <v>162</v>
      </c>
      <c r="BI48" s="26" t="s">
        <v>182</v>
      </c>
      <c r="BJ48" s="26" t="s">
        <v>1170</v>
      </c>
      <c r="BK48" s="26" t="s">
        <v>184</v>
      </c>
      <c r="BL48" s="26" t="s">
        <v>185</v>
      </c>
      <c r="BM48" s="26" t="s">
        <v>186</v>
      </c>
      <c r="BN48" s="26" t="s">
        <v>162</v>
      </c>
      <c r="BP48" s="26">
        <v>0</v>
      </c>
      <c r="BQ48" s="26" t="s">
        <v>1164</v>
      </c>
      <c r="BS48" s="26" t="s">
        <v>188</v>
      </c>
      <c r="BT48" s="26" t="s">
        <v>185</v>
      </c>
      <c r="BV48" s="26">
        <v>29.1856</v>
      </c>
      <c r="BW48" s="26">
        <v>0.16</v>
      </c>
      <c r="BZ48" s="26">
        <v>0.9</v>
      </c>
      <c r="CA48" s="26" t="s">
        <v>189</v>
      </c>
      <c r="CC48" s="26" t="s">
        <v>162</v>
      </c>
      <c r="CD48" s="26">
        <v>0</v>
      </c>
      <c r="CE48" s="26" t="s">
        <v>190</v>
      </c>
      <c r="CF48" s="26" t="s">
        <v>167</v>
      </c>
      <c r="CG48" s="26" t="s">
        <v>1171</v>
      </c>
      <c r="CI48" s="26" t="s">
        <v>267</v>
      </c>
      <c r="CJ48" s="26">
        <v>182.41</v>
      </c>
      <c r="CK48" s="26">
        <v>0</v>
      </c>
      <c r="CL48" s="26">
        <v>9.12</v>
      </c>
      <c r="CM48" s="26">
        <v>29.13</v>
      </c>
      <c r="CQ48" s="26" t="s">
        <v>437</v>
      </c>
      <c r="CR48" s="26" t="s">
        <v>1172</v>
      </c>
      <c r="CS48" s="26" t="s">
        <v>1173</v>
      </c>
      <c r="CW48" s="26" t="s">
        <v>1174</v>
      </c>
      <c r="CX48" s="26" t="s">
        <v>162</v>
      </c>
      <c r="CY48" s="26" t="s">
        <v>196</v>
      </c>
      <c r="CZ48" s="26">
        <v>0</v>
      </c>
      <c r="DB48" s="26">
        <v>0</v>
      </c>
      <c r="DK48" s="26" t="s">
        <v>150</v>
      </c>
      <c r="DL48" s="26" t="s">
        <v>729</v>
      </c>
      <c r="DM48" s="26" t="s">
        <v>1175</v>
      </c>
      <c r="DN48" s="26" t="s">
        <v>1176</v>
      </c>
      <c r="DO48" s="26" t="s">
        <v>1071</v>
      </c>
      <c r="DP48" s="26" t="s">
        <v>1177</v>
      </c>
      <c r="DR48" s="26" t="s">
        <v>189</v>
      </c>
      <c r="DS48" s="26" t="s">
        <v>189</v>
      </c>
      <c r="DT48" s="26" t="s">
        <v>189</v>
      </c>
      <c r="DU48" s="26" t="s">
        <v>189</v>
      </c>
      <c r="DV48" s="26" t="s">
        <v>203</v>
      </c>
      <c r="DW48" s="26" t="s">
        <v>162</v>
      </c>
      <c r="DX48" s="26" t="s">
        <v>162</v>
      </c>
      <c r="DY48" s="26">
        <v>0</v>
      </c>
      <c r="DZ48" s="26" t="s">
        <v>150</v>
      </c>
      <c r="EH48" s="26" t="s">
        <v>189</v>
      </c>
      <c r="EI48" s="26">
        <v>0.16</v>
      </c>
      <c r="EJ48" s="26">
        <v>29.1856</v>
      </c>
      <c r="EK48" s="26">
        <v>29.13</v>
      </c>
      <c r="EL48" s="26" t="s">
        <v>1178</v>
      </c>
      <c r="EM48" s="26" t="s">
        <v>206</v>
      </c>
      <c r="EN48" s="26" t="s">
        <v>207</v>
      </c>
    </row>
    <row r="49" spans="1:144">
      <c r="A49" s="26" t="s">
        <v>145</v>
      </c>
      <c r="B49" s="26" t="s">
        <v>395</v>
      </c>
      <c r="C49" s="26" t="s">
        <v>1179</v>
      </c>
      <c r="D49" s="26" t="s">
        <v>148</v>
      </c>
      <c r="E49" s="26" t="s">
        <v>149</v>
      </c>
      <c r="G49" s="26" t="s">
        <v>151</v>
      </c>
      <c r="H49" s="26" t="s">
        <v>152</v>
      </c>
      <c r="I49" s="26" t="s">
        <v>153</v>
      </c>
      <c r="J49" s="26" t="s">
        <v>154</v>
      </c>
      <c r="K49" s="26" t="s">
        <v>209</v>
      </c>
      <c r="L49" s="26" t="s">
        <v>210</v>
      </c>
      <c r="M49" s="26" t="s">
        <v>1180</v>
      </c>
      <c r="N49" s="26" t="s">
        <v>1181</v>
      </c>
      <c r="O49" s="26" t="s">
        <v>1182</v>
      </c>
      <c r="P49" s="26" t="s">
        <v>1183</v>
      </c>
      <c r="Q49" s="26" t="s">
        <v>1184</v>
      </c>
      <c r="R49" s="26">
        <v>147.649</v>
      </c>
      <c r="S49" s="26" t="s">
        <v>800</v>
      </c>
      <c r="T49" s="26">
        <v>141.514</v>
      </c>
      <c r="U49" s="26" t="s">
        <v>217</v>
      </c>
      <c r="V49" s="26" t="s">
        <v>150</v>
      </c>
      <c r="Y49" s="26" t="s">
        <v>1185</v>
      </c>
      <c r="Z49" s="26">
        <v>22.14735</v>
      </c>
      <c r="AA49" s="26">
        <v>0</v>
      </c>
      <c r="AB49" s="26">
        <v>0</v>
      </c>
      <c r="AC49" s="26">
        <v>23</v>
      </c>
      <c r="AD49" s="26" t="s">
        <v>1140</v>
      </c>
      <c r="AE49" s="26" t="s">
        <v>1140</v>
      </c>
      <c r="AF49" s="26" t="s">
        <v>1140</v>
      </c>
      <c r="AG49" s="26" t="s">
        <v>1186</v>
      </c>
      <c r="AI49" s="26" t="s">
        <v>167</v>
      </c>
      <c r="AJ49" s="26" t="s">
        <v>168</v>
      </c>
      <c r="AK49" s="26" t="s">
        <v>169</v>
      </c>
      <c r="AL49" s="26" t="s">
        <v>1187</v>
      </c>
      <c r="AM49" s="26" t="s">
        <v>1188</v>
      </c>
      <c r="AN49" s="26" t="s">
        <v>172</v>
      </c>
      <c r="AO49" s="26" t="s">
        <v>1189</v>
      </c>
      <c r="AP49" s="26" t="s">
        <v>162</v>
      </c>
      <c r="AQ49" s="26" t="s">
        <v>1190</v>
      </c>
      <c r="AR49" s="26" t="s">
        <v>1191</v>
      </c>
      <c r="AS49" s="26" t="s">
        <v>662</v>
      </c>
      <c r="AU49" s="26" t="s">
        <v>1192</v>
      </c>
      <c r="AV49" s="26" t="s">
        <v>1192</v>
      </c>
      <c r="AX49" s="26" t="s">
        <v>1193</v>
      </c>
      <c r="AY49" s="26" t="s">
        <v>179</v>
      </c>
      <c r="BC49" s="26" t="s">
        <v>1179</v>
      </c>
      <c r="BD49" s="26" t="s">
        <v>180</v>
      </c>
      <c r="BE49" s="26" t="s">
        <v>181</v>
      </c>
      <c r="BF49" s="26" t="s">
        <v>167</v>
      </c>
      <c r="BH49" s="26" t="s">
        <v>162</v>
      </c>
      <c r="BI49" s="26" t="s">
        <v>182</v>
      </c>
      <c r="BJ49" s="26" t="s">
        <v>1194</v>
      </c>
      <c r="BK49" s="26" t="s">
        <v>184</v>
      </c>
      <c r="BL49" s="26" t="s">
        <v>185</v>
      </c>
      <c r="BM49" s="26" t="s">
        <v>186</v>
      </c>
      <c r="BN49" s="26" t="s">
        <v>162</v>
      </c>
      <c r="BP49" s="26">
        <v>0</v>
      </c>
      <c r="BQ49" s="26" t="s">
        <v>666</v>
      </c>
      <c r="BS49" s="26" t="s">
        <v>230</v>
      </c>
      <c r="BT49" s="26" t="s">
        <v>185</v>
      </c>
      <c r="BV49" s="26">
        <v>20.671</v>
      </c>
      <c r="BW49" s="26">
        <v>0.14</v>
      </c>
      <c r="BZ49" s="26">
        <v>0</v>
      </c>
      <c r="CA49" s="26" t="s">
        <v>189</v>
      </c>
      <c r="CC49" s="26" t="s">
        <v>162</v>
      </c>
      <c r="CD49" s="26">
        <v>0</v>
      </c>
      <c r="CE49" s="26" t="s">
        <v>190</v>
      </c>
      <c r="CF49" s="26" t="s">
        <v>167</v>
      </c>
      <c r="CG49" s="26" t="s">
        <v>1195</v>
      </c>
      <c r="CI49" s="26" t="s">
        <v>232</v>
      </c>
      <c r="CJ49" s="26">
        <v>147.65</v>
      </c>
      <c r="CK49" s="26">
        <v>0</v>
      </c>
      <c r="CL49" s="26">
        <v>7.38</v>
      </c>
      <c r="CM49" s="26">
        <v>29.13</v>
      </c>
      <c r="CQ49" s="26" t="s">
        <v>605</v>
      </c>
      <c r="CR49" s="26" t="s">
        <v>1196</v>
      </c>
      <c r="CS49" s="26" t="s">
        <v>1197</v>
      </c>
      <c r="CW49" s="26" t="s">
        <v>1198</v>
      </c>
      <c r="CX49" s="26" t="s">
        <v>162</v>
      </c>
      <c r="CY49" s="26" t="s">
        <v>196</v>
      </c>
      <c r="CZ49" s="26">
        <v>0</v>
      </c>
      <c r="DB49" s="26">
        <v>0</v>
      </c>
      <c r="DK49" s="26" t="s">
        <v>150</v>
      </c>
      <c r="DL49" s="26" t="s">
        <v>237</v>
      </c>
      <c r="DM49" s="26" t="s">
        <v>1199</v>
      </c>
      <c r="DN49" s="26" t="s">
        <v>1200</v>
      </c>
      <c r="DO49" s="26" t="s">
        <v>1071</v>
      </c>
      <c r="DP49" s="26" t="s">
        <v>1201</v>
      </c>
      <c r="DR49" s="26" t="s">
        <v>189</v>
      </c>
      <c r="DS49" s="26" t="s">
        <v>189</v>
      </c>
      <c r="DT49" s="26" t="s">
        <v>189</v>
      </c>
      <c r="DU49" s="26" t="s">
        <v>189</v>
      </c>
      <c r="DV49" s="26" t="s">
        <v>203</v>
      </c>
      <c r="DW49" s="26" t="s">
        <v>162</v>
      </c>
      <c r="DX49" s="26" t="s">
        <v>162</v>
      </c>
      <c r="DY49" s="26">
        <v>0</v>
      </c>
      <c r="DZ49" s="26" t="s">
        <v>150</v>
      </c>
      <c r="EH49" s="26" t="s">
        <v>189</v>
      </c>
      <c r="EI49" s="26">
        <v>0.14</v>
      </c>
      <c r="EJ49" s="26">
        <v>20.671</v>
      </c>
      <c r="EK49" s="26">
        <v>29.13</v>
      </c>
      <c r="EL49" s="26" t="s">
        <v>1202</v>
      </c>
      <c r="EM49" s="26" t="s">
        <v>206</v>
      </c>
      <c r="EN49" s="26" t="s">
        <v>207</v>
      </c>
    </row>
    <row r="50" spans="1:144">
      <c r="A50" s="26" t="s">
        <v>145</v>
      </c>
      <c r="B50" s="26" t="s">
        <v>395</v>
      </c>
      <c r="C50" s="26" t="s">
        <v>1203</v>
      </c>
      <c r="D50" s="26" t="s">
        <v>148</v>
      </c>
      <c r="E50" s="26" t="s">
        <v>149</v>
      </c>
      <c r="G50" s="26" t="s">
        <v>151</v>
      </c>
      <c r="H50" s="26" t="s">
        <v>152</v>
      </c>
      <c r="I50" s="26" t="s">
        <v>153</v>
      </c>
      <c r="J50" s="26" t="s">
        <v>154</v>
      </c>
      <c r="K50" s="26" t="s">
        <v>244</v>
      </c>
      <c r="L50" s="26" t="s">
        <v>245</v>
      </c>
      <c r="M50" s="26" t="s">
        <v>1204</v>
      </c>
      <c r="N50" s="26" t="s">
        <v>1205</v>
      </c>
      <c r="O50" s="26" t="s">
        <v>1206</v>
      </c>
      <c r="P50" s="26" t="s">
        <v>1207</v>
      </c>
      <c r="Q50" s="26" t="s">
        <v>1208</v>
      </c>
      <c r="R50" s="26">
        <v>118.201</v>
      </c>
      <c r="S50" s="26" t="s">
        <v>1209</v>
      </c>
      <c r="T50" s="26">
        <v>112.066</v>
      </c>
      <c r="U50" s="26" t="s">
        <v>217</v>
      </c>
      <c r="V50" s="26" t="s">
        <v>150</v>
      </c>
      <c r="Y50" s="26" t="s">
        <v>1210</v>
      </c>
      <c r="Z50" s="26">
        <v>17.73015</v>
      </c>
      <c r="AA50" s="26">
        <v>0</v>
      </c>
      <c r="AB50" s="26">
        <v>0</v>
      </c>
      <c r="AC50" s="26">
        <v>14</v>
      </c>
      <c r="AD50" s="26" t="s">
        <v>1211</v>
      </c>
      <c r="AE50" s="26" t="s">
        <v>1211</v>
      </c>
      <c r="AF50" s="26" t="s">
        <v>1211</v>
      </c>
      <c r="AG50" s="26" t="s">
        <v>1212</v>
      </c>
      <c r="AI50" s="26" t="s">
        <v>167</v>
      </c>
      <c r="AJ50" s="26" t="s">
        <v>168</v>
      </c>
      <c r="AK50" s="26" t="s">
        <v>169</v>
      </c>
      <c r="AL50" s="26" t="s">
        <v>748</v>
      </c>
      <c r="AM50" s="26" t="s">
        <v>1187</v>
      </c>
      <c r="AN50" s="26" t="s">
        <v>172</v>
      </c>
      <c r="AO50" s="26" t="s">
        <v>1213</v>
      </c>
      <c r="AP50" s="26" t="s">
        <v>162</v>
      </c>
      <c r="AQ50" s="26" t="s">
        <v>1214</v>
      </c>
      <c r="AR50" s="26" t="s">
        <v>1215</v>
      </c>
      <c r="AS50" s="26" t="s">
        <v>1216</v>
      </c>
      <c r="AT50" s="26" t="s">
        <v>691</v>
      </c>
      <c r="AU50" s="26" t="s">
        <v>1217</v>
      </c>
      <c r="AV50" s="26" t="s">
        <v>1217</v>
      </c>
      <c r="AX50" s="26" t="s">
        <v>1218</v>
      </c>
      <c r="AY50" s="26" t="s">
        <v>179</v>
      </c>
      <c r="BC50" s="26" t="s">
        <v>1203</v>
      </c>
      <c r="BD50" s="26" t="s">
        <v>180</v>
      </c>
      <c r="BE50" s="26" t="s">
        <v>181</v>
      </c>
      <c r="BF50" s="26" t="s">
        <v>167</v>
      </c>
      <c r="BH50" s="26" t="s">
        <v>162</v>
      </c>
      <c r="BI50" s="26" t="s">
        <v>182</v>
      </c>
      <c r="BJ50" s="26" t="s">
        <v>255</v>
      </c>
      <c r="BK50" s="26" t="s">
        <v>184</v>
      </c>
      <c r="BL50" s="26" t="s">
        <v>185</v>
      </c>
      <c r="BM50" s="26" t="s">
        <v>186</v>
      </c>
      <c r="BN50" s="26" t="s">
        <v>162</v>
      </c>
      <c r="BP50" s="26">
        <v>0</v>
      </c>
      <c r="BR50" s="26" t="s">
        <v>695</v>
      </c>
      <c r="BS50" s="26" t="s">
        <v>230</v>
      </c>
      <c r="BT50" s="26" t="s">
        <v>185</v>
      </c>
      <c r="BV50" s="26">
        <v>18.912</v>
      </c>
      <c r="BW50" s="26">
        <v>0.16</v>
      </c>
      <c r="BZ50" s="26">
        <v>0</v>
      </c>
      <c r="CA50" s="26" t="s">
        <v>189</v>
      </c>
      <c r="CC50" s="26" t="s">
        <v>162</v>
      </c>
      <c r="CD50" s="26">
        <v>0</v>
      </c>
      <c r="CE50" s="26" t="s">
        <v>190</v>
      </c>
      <c r="CF50" s="26" t="s">
        <v>167</v>
      </c>
      <c r="CG50" s="26" t="s">
        <v>1219</v>
      </c>
      <c r="CI50" s="26" t="s">
        <v>267</v>
      </c>
      <c r="CJ50" s="26">
        <v>118.2</v>
      </c>
      <c r="CK50" s="26">
        <v>0</v>
      </c>
      <c r="CL50" s="26">
        <v>5.91</v>
      </c>
      <c r="CM50" s="26">
        <v>8.84</v>
      </c>
      <c r="CQ50" s="26" t="s">
        <v>233</v>
      </c>
      <c r="CR50" s="26" t="s">
        <v>1220</v>
      </c>
      <c r="CS50" s="26" t="s">
        <v>1221</v>
      </c>
      <c r="CW50" s="26" t="s">
        <v>1222</v>
      </c>
      <c r="CX50" s="26" t="s">
        <v>195</v>
      </c>
      <c r="CY50" s="26" t="s">
        <v>196</v>
      </c>
      <c r="CZ50" s="26">
        <v>0</v>
      </c>
      <c r="DB50" s="26">
        <v>0</v>
      </c>
      <c r="DK50" s="26" t="s">
        <v>150</v>
      </c>
      <c r="DL50" s="26" t="s">
        <v>237</v>
      </c>
      <c r="DM50" s="26" t="s">
        <v>1223</v>
      </c>
      <c r="DN50" s="26" t="s">
        <v>1224</v>
      </c>
      <c r="DO50" s="26" t="s">
        <v>1225</v>
      </c>
      <c r="DP50" s="26" t="s">
        <v>1226</v>
      </c>
      <c r="DR50" s="26" t="s">
        <v>189</v>
      </c>
      <c r="DS50" s="26" t="s">
        <v>189</v>
      </c>
      <c r="DT50" s="26" t="s">
        <v>189</v>
      </c>
      <c r="DU50" s="26" t="s">
        <v>189</v>
      </c>
      <c r="DV50" s="26" t="s">
        <v>203</v>
      </c>
      <c r="DW50" s="26" t="s">
        <v>162</v>
      </c>
      <c r="DX50" s="26" t="s">
        <v>162</v>
      </c>
      <c r="DY50" s="26">
        <v>0</v>
      </c>
      <c r="DZ50" s="26" t="s">
        <v>150</v>
      </c>
      <c r="EA50" s="26" t="s">
        <v>534</v>
      </c>
      <c r="EB50" s="26" t="s">
        <v>547</v>
      </c>
      <c r="EH50" s="26" t="s">
        <v>189</v>
      </c>
      <c r="EI50" s="26">
        <v>0.16</v>
      </c>
      <c r="EJ50" s="26">
        <v>18.912</v>
      </c>
      <c r="EK50" s="26">
        <v>8.84</v>
      </c>
      <c r="EL50" s="26" t="s">
        <v>1227</v>
      </c>
      <c r="EM50" s="26" t="s">
        <v>206</v>
      </c>
      <c r="EN50" s="26" t="s">
        <v>207</v>
      </c>
    </row>
    <row r="51" spans="1:144">
      <c r="A51" s="26" t="s">
        <v>145</v>
      </c>
      <c r="B51" s="26" t="s">
        <v>395</v>
      </c>
      <c r="C51" s="26" t="s">
        <v>1228</v>
      </c>
      <c r="D51" s="26" t="s">
        <v>148</v>
      </c>
      <c r="E51" s="26" t="s">
        <v>149</v>
      </c>
      <c r="G51" s="26" t="s">
        <v>151</v>
      </c>
      <c r="H51" s="26" t="s">
        <v>152</v>
      </c>
      <c r="I51" s="26" t="s">
        <v>153</v>
      </c>
      <c r="J51" s="26" t="s">
        <v>154</v>
      </c>
      <c r="K51" s="26" t="s">
        <v>209</v>
      </c>
      <c r="L51" s="26" t="s">
        <v>335</v>
      </c>
      <c r="M51" s="26" t="s">
        <v>1229</v>
      </c>
      <c r="N51" s="26" t="s">
        <v>1230</v>
      </c>
      <c r="O51" s="26" t="s">
        <v>1231</v>
      </c>
      <c r="P51" s="26" t="s">
        <v>1232</v>
      </c>
      <c r="Q51" s="26" t="s">
        <v>1233</v>
      </c>
      <c r="R51" s="26">
        <v>148.467</v>
      </c>
      <c r="S51" s="26" t="s">
        <v>510</v>
      </c>
      <c r="T51" s="26">
        <v>142.332</v>
      </c>
      <c r="U51" s="26" t="s">
        <v>217</v>
      </c>
      <c r="V51" s="26" t="s">
        <v>150</v>
      </c>
      <c r="Y51" s="26" t="s">
        <v>1234</v>
      </c>
      <c r="Z51" s="26">
        <v>22.27005</v>
      </c>
      <c r="AA51" s="26">
        <v>0</v>
      </c>
      <c r="AB51" s="26">
        <v>0</v>
      </c>
      <c r="AC51" s="26">
        <v>20</v>
      </c>
      <c r="AD51" s="26" t="s">
        <v>343</v>
      </c>
      <c r="AE51" s="26" t="s">
        <v>343</v>
      </c>
      <c r="AF51" s="26" t="s">
        <v>343</v>
      </c>
      <c r="AG51" s="26" t="s">
        <v>1235</v>
      </c>
      <c r="AH51" s="26" t="s">
        <v>1236</v>
      </c>
      <c r="AI51" s="26" t="s">
        <v>167</v>
      </c>
      <c r="AJ51" s="26" t="s">
        <v>797</v>
      </c>
      <c r="AK51" s="26" t="s">
        <v>798</v>
      </c>
      <c r="AL51" s="26" t="s">
        <v>1237</v>
      </c>
      <c r="AM51" s="26" t="s">
        <v>1238</v>
      </c>
      <c r="AN51" s="26" t="s">
        <v>172</v>
      </c>
      <c r="AO51" s="26" t="s">
        <v>1239</v>
      </c>
      <c r="AP51" s="26" t="s">
        <v>162</v>
      </c>
      <c r="AQ51" s="26" t="s">
        <v>1240</v>
      </c>
      <c r="AR51" s="26" t="s">
        <v>1241</v>
      </c>
      <c r="AS51" s="26" t="s">
        <v>349</v>
      </c>
      <c r="AU51" s="26" t="s">
        <v>1242</v>
      </c>
      <c r="AV51" s="26" t="s">
        <v>150</v>
      </c>
      <c r="AX51" s="26" t="s">
        <v>351</v>
      </c>
      <c r="AY51" s="26" t="s">
        <v>179</v>
      </c>
      <c r="BC51" s="26" t="s">
        <v>1228</v>
      </c>
      <c r="BD51" s="26" t="s">
        <v>180</v>
      </c>
      <c r="BE51" s="26" t="s">
        <v>181</v>
      </c>
      <c r="BF51" s="26" t="s">
        <v>167</v>
      </c>
      <c r="BH51" s="26" t="s">
        <v>162</v>
      </c>
      <c r="BI51" s="26" t="s">
        <v>807</v>
      </c>
      <c r="BJ51" s="26" t="s">
        <v>1243</v>
      </c>
      <c r="BK51" s="26" t="s">
        <v>184</v>
      </c>
      <c r="BL51" s="26" t="s">
        <v>185</v>
      </c>
      <c r="BM51" s="26" t="s">
        <v>186</v>
      </c>
      <c r="BN51" s="26" t="s">
        <v>162</v>
      </c>
      <c r="BP51" s="26">
        <v>0</v>
      </c>
      <c r="BQ51" s="26" t="s">
        <v>494</v>
      </c>
      <c r="BS51" s="26" t="s">
        <v>230</v>
      </c>
      <c r="BT51" s="26" t="s">
        <v>185</v>
      </c>
      <c r="BV51" s="26">
        <v>20.7858</v>
      </c>
      <c r="BW51" s="26">
        <v>0.14</v>
      </c>
      <c r="BZ51" s="26">
        <v>0</v>
      </c>
      <c r="CA51" s="26" t="s">
        <v>189</v>
      </c>
      <c r="CC51" s="26" t="s">
        <v>162</v>
      </c>
      <c r="CD51" s="26">
        <v>0</v>
      </c>
      <c r="CE51" s="26" t="s">
        <v>190</v>
      </c>
      <c r="CF51" s="26" t="s">
        <v>167</v>
      </c>
      <c r="CG51" s="26" t="s">
        <v>1244</v>
      </c>
      <c r="CI51" s="26" t="s">
        <v>232</v>
      </c>
      <c r="CJ51" s="26">
        <v>148.47</v>
      </c>
      <c r="CK51" s="26">
        <v>0</v>
      </c>
      <c r="CL51" s="26">
        <v>7.42</v>
      </c>
      <c r="CM51" s="26">
        <v>34.77</v>
      </c>
      <c r="CQ51" s="26" t="s">
        <v>192</v>
      </c>
      <c r="CR51" s="26" t="s">
        <v>1245</v>
      </c>
      <c r="CS51" s="26" t="s">
        <v>1246</v>
      </c>
      <c r="CW51" s="26" t="s">
        <v>358</v>
      </c>
      <c r="CX51" s="26" t="s">
        <v>162</v>
      </c>
      <c r="CY51" s="26" t="s">
        <v>196</v>
      </c>
      <c r="CZ51" s="26">
        <v>0</v>
      </c>
      <c r="DB51" s="26">
        <v>0</v>
      </c>
      <c r="DK51" s="26" t="s">
        <v>150</v>
      </c>
      <c r="DL51" s="26" t="s">
        <v>237</v>
      </c>
      <c r="DM51" s="26" t="s">
        <v>1223</v>
      </c>
      <c r="DN51" s="26" t="s">
        <v>1247</v>
      </c>
      <c r="DO51" s="26" t="s">
        <v>1248</v>
      </c>
      <c r="DP51" s="26" t="s">
        <v>1249</v>
      </c>
      <c r="DR51" s="26" t="s">
        <v>189</v>
      </c>
      <c r="DS51" s="26" t="s">
        <v>189</v>
      </c>
      <c r="DT51" s="26" t="s">
        <v>189</v>
      </c>
      <c r="DU51" s="26" t="s">
        <v>189</v>
      </c>
      <c r="DV51" s="26" t="s">
        <v>203</v>
      </c>
      <c r="DW51" s="26" t="s">
        <v>162</v>
      </c>
      <c r="DX51" s="26" t="s">
        <v>162</v>
      </c>
      <c r="DY51" s="26">
        <v>0</v>
      </c>
      <c r="DZ51" s="26" t="s">
        <v>150</v>
      </c>
      <c r="EH51" s="26" t="s">
        <v>189</v>
      </c>
      <c r="EI51" s="26">
        <v>0.14</v>
      </c>
      <c r="EJ51" s="26">
        <v>20.7858</v>
      </c>
      <c r="EK51" s="26">
        <v>34.77</v>
      </c>
      <c r="EL51" s="26" t="s">
        <v>1250</v>
      </c>
      <c r="EM51" s="26" t="s">
        <v>206</v>
      </c>
      <c r="EN51" s="26" t="s">
        <v>207</v>
      </c>
    </row>
    <row r="52" spans="1:144">
      <c r="A52" s="26" t="s">
        <v>145</v>
      </c>
      <c r="B52" s="26" t="s">
        <v>395</v>
      </c>
      <c r="C52" s="26" t="s">
        <v>1251</v>
      </c>
      <c r="D52" s="26" t="s">
        <v>148</v>
      </c>
      <c r="E52" s="26" t="s">
        <v>149</v>
      </c>
      <c r="G52" s="26" t="s">
        <v>151</v>
      </c>
      <c r="H52" s="26" t="s">
        <v>152</v>
      </c>
      <c r="I52" s="26" t="s">
        <v>153</v>
      </c>
      <c r="J52" s="26" t="s">
        <v>154</v>
      </c>
      <c r="K52" s="26" t="s">
        <v>1075</v>
      </c>
      <c r="L52" s="26" t="s">
        <v>1252</v>
      </c>
      <c r="M52" s="26" t="s">
        <v>1253</v>
      </c>
      <c r="N52" s="26" t="s">
        <v>1254</v>
      </c>
      <c r="O52" s="26" t="s">
        <v>1255</v>
      </c>
      <c r="P52" s="26" t="s">
        <v>1256</v>
      </c>
      <c r="Q52" s="26" t="s">
        <v>1081</v>
      </c>
      <c r="R52" s="26">
        <v>116.565</v>
      </c>
      <c r="S52" s="26" t="s">
        <v>1257</v>
      </c>
      <c r="T52" s="26">
        <v>110.43</v>
      </c>
      <c r="U52" s="26" t="s">
        <v>217</v>
      </c>
      <c r="V52" s="26" t="s">
        <v>150</v>
      </c>
      <c r="Y52" s="26" t="s">
        <v>1258</v>
      </c>
      <c r="Z52" s="26">
        <v>17.48475</v>
      </c>
      <c r="AA52" s="26">
        <v>0</v>
      </c>
      <c r="AB52" s="26">
        <v>0</v>
      </c>
      <c r="AC52" s="26">
        <v>16</v>
      </c>
      <c r="AD52" s="26" t="s">
        <v>1259</v>
      </c>
      <c r="AE52" s="26" t="s">
        <v>1259</v>
      </c>
      <c r="AF52" s="26" t="s">
        <v>1259</v>
      </c>
      <c r="AG52" s="26" t="s">
        <v>1260</v>
      </c>
      <c r="AI52" s="26" t="s">
        <v>167</v>
      </c>
      <c r="AJ52" s="26" t="s">
        <v>797</v>
      </c>
      <c r="AK52" s="26" t="s">
        <v>798</v>
      </c>
      <c r="AL52" s="26" t="s">
        <v>1261</v>
      </c>
      <c r="AM52" s="26" t="s">
        <v>1187</v>
      </c>
      <c r="AN52" s="26" t="s">
        <v>172</v>
      </c>
      <c r="AO52" s="26" t="s">
        <v>906</v>
      </c>
      <c r="AP52" s="26" t="s">
        <v>162</v>
      </c>
      <c r="AQ52" s="26" t="s">
        <v>1262</v>
      </c>
      <c r="AR52" s="26" t="s">
        <v>1263</v>
      </c>
      <c r="AS52" s="26" t="s">
        <v>804</v>
      </c>
      <c r="AU52" s="26" t="s">
        <v>1264</v>
      </c>
      <c r="AV52" s="26" t="s">
        <v>150</v>
      </c>
      <c r="AX52" s="26" t="s">
        <v>1265</v>
      </c>
      <c r="AY52" s="26" t="s">
        <v>179</v>
      </c>
      <c r="BC52" s="26" t="s">
        <v>1251</v>
      </c>
      <c r="BD52" s="26" t="s">
        <v>180</v>
      </c>
      <c r="BE52" s="26" t="s">
        <v>181</v>
      </c>
      <c r="BF52" s="26" t="s">
        <v>167</v>
      </c>
      <c r="BH52" s="26" t="s">
        <v>162</v>
      </c>
      <c r="BI52" s="26" t="s">
        <v>807</v>
      </c>
      <c r="BJ52" s="26" t="s">
        <v>1266</v>
      </c>
      <c r="BK52" s="26" t="s">
        <v>184</v>
      </c>
      <c r="BL52" s="26" t="s">
        <v>185</v>
      </c>
      <c r="BM52" s="26" t="s">
        <v>186</v>
      </c>
      <c r="BN52" s="26" t="s">
        <v>162</v>
      </c>
      <c r="BP52" s="26">
        <v>0</v>
      </c>
      <c r="BQ52" s="26" t="s">
        <v>324</v>
      </c>
      <c r="BS52" s="26" t="s">
        <v>230</v>
      </c>
      <c r="BT52" s="26" t="s">
        <v>185</v>
      </c>
      <c r="BV52" s="26">
        <v>16.3184</v>
      </c>
      <c r="BW52" s="26">
        <v>0.14</v>
      </c>
      <c r="BZ52" s="26">
        <v>0</v>
      </c>
      <c r="CA52" s="26" t="s">
        <v>189</v>
      </c>
      <c r="CC52" s="26" t="s">
        <v>162</v>
      </c>
      <c r="CD52" s="26">
        <v>0</v>
      </c>
      <c r="CE52" s="26" t="s">
        <v>190</v>
      </c>
      <c r="CF52" s="26" t="s">
        <v>167</v>
      </c>
      <c r="CG52" s="26" t="s">
        <v>1267</v>
      </c>
      <c r="CI52" s="26" t="s">
        <v>1095</v>
      </c>
      <c r="CJ52" s="26">
        <v>116.56</v>
      </c>
      <c r="CK52" s="26">
        <v>0</v>
      </c>
      <c r="CL52" s="26">
        <v>5.83</v>
      </c>
      <c r="CM52" s="26">
        <v>20.88</v>
      </c>
      <c r="CQ52" s="26" t="s">
        <v>233</v>
      </c>
      <c r="CR52" s="26" t="s">
        <v>1268</v>
      </c>
      <c r="CS52" s="26" t="s">
        <v>1269</v>
      </c>
      <c r="CW52" s="26" t="s">
        <v>1270</v>
      </c>
      <c r="CX52" s="26" t="s">
        <v>195</v>
      </c>
      <c r="CY52" s="26" t="s">
        <v>196</v>
      </c>
      <c r="CZ52" s="26">
        <v>0</v>
      </c>
      <c r="DB52" s="26">
        <v>0</v>
      </c>
      <c r="DK52" s="26" t="s">
        <v>150</v>
      </c>
      <c r="DL52" s="26" t="s">
        <v>237</v>
      </c>
      <c r="DM52" s="26" t="s">
        <v>1271</v>
      </c>
      <c r="DN52" s="26" t="s">
        <v>1272</v>
      </c>
      <c r="DO52" s="26" t="s">
        <v>1273</v>
      </c>
      <c r="DP52" s="26" t="s">
        <v>1274</v>
      </c>
      <c r="DR52" s="26" t="s">
        <v>189</v>
      </c>
      <c r="DS52" s="26" t="s">
        <v>189</v>
      </c>
      <c r="DT52" s="26" t="s">
        <v>189</v>
      </c>
      <c r="DU52" s="26" t="s">
        <v>189</v>
      </c>
      <c r="DV52" s="26" t="s">
        <v>203</v>
      </c>
      <c r="DW52" s="26" t="s">
        <v>162</v>
      </c>
      <c r="DX52" s="26" t="s">
        <v>162</v>
      </c>
      <c r="DY52" s="26">
        <v>0</v>
      </c>
      <c r="DZ52" s="26" t="s">
        <v>150</v>
      </c>
      <c r="EH52" s="26" t="s">
        <v>189</v>
      </c>
      <c r="EI52" s="26">
        <v>0.14</v>
      </c>
      <c r="EJ52" s="26">
        <v>16.3184</v>
      </c>
      <c r="EK52" s="26">
        <v>20.88</v>
      </c>
      <c r="EL52" s="26" t="s">
        <v>1275</v>
      </c>
      <c r="EM52" s="26" t="s">
        <v>206</v>
      </c>
      <c r="EN52" s="26" t="s">
        <v>207</v>
      </c>
    </row>
    <row r="53" spans="1:144">
      <c r="A53" s="26" t="s">
        <v>145</v>
      </c>
      <c r="B53" s="26" t="s">
        <v>395</v>
      </c>
      <c r="C53" s="26" t="s">
        <v>1276</v>
      </c>
      <c r="D53" s="26" t="s">
        <v>148</v>
      </c>
      <c r="E53" s="26" t="s">
        <v>149</v>
      </c>
      <c r="F53" s="26" t="s">
        <v>150</v>
      </c>
      <c r="G53" s="26" t="s">
        <v>151</v>
      </c>
      <c r="H53" s="26" t="s">
        <v>152</v>
      </c>
      <c r="I53" s="26" t="s">
        <v>153</v>
      </c>
      <c r="J53" s="26" t="s">
        <v>154</v>
      </c>
      <c r="K53" s="26" t="s">
        <v>244</v>
      </c>
      <c r="L53" s="26" t="s">
        <v>707</v>
      </c>
      <c r="M53" s="26" t="s">
        <v>1277</v>
      </c>
      <c r="N53" s="26" t="s">
        <v>1278</v>
      </c>
      <c r="O53" s="26" t="s">
        <v>1279</v>
      </c>
      <c r="P53" s="26" t="s">
        <v>1280</v>
      </c>
      <c r="Q53" s="26" t="s">
        <v>1281</v>
      </c>
      <c r="R53" s="26">
        <v>183.232</v>
      </c>
      <c r="S53" s="26" t="s">
        <v>1282</v>
      </c>
      <c r="T53" s="26">
        <v>177.097</v>
      </c>
      <c r="U53" s="26" t="s">
        <v>217</v>
      </c>
      <c r="V53" s="26" t="s">
        <v>150</v>
      </c>
      <c r="Y53" s="26" t="s">
        <v>1283</v>
      </c>
      <c r="Z53" s="26">
        <v>27.4848</v>
      </c>
      <c r="AA53" s="26">
        <v>0</v>
      </c>
      <c r="AB53" s="26">
        <v>0</v>
      </c>
      <c r="AC53" s="26">
        <v>36</v>
      </c>
      <c r="AD53" s="26" t="s">
        <v>1284</v>
      </c>
      <c r="AE53" s="26" t="s">
        <v>1284</v>
      </c>
      <c r="AF53" s="26" t="s">
        <v>1284</v>
      </c>
      <c r="AG53" s="26" t="s">
        <v>1285</v>
      </c>
      <c r="AI53" s="26" t="s">
        <v>167</v>
      </c>
      <c r="AJ53" s="26" t="s">
        <v>168</v>
      </c>
      <c r="AK53" s="26" t="s">
        <v>169</v>
      </c>
      <c r="AL53" s="26" t="s">
        <v>510</v>
      </c>
      <c r="AM53" s="26" t="s">
        <v>407</v>
      </c>
      <c r="AN53" s="26" t="s">
        <v>172</v>
      </c>
      <c r="AO53" s="26" t="s">
        <v>1286</v>
      </c>
      <c r="AP53" s="26" t="s">
        <v>162</v>
      </c>
      <c r="AQ53" s="26" t="s">
        <v>1287</v>
      </c>
      <c r="AR53" s="26" t="s">
        <v>1288</v>
      </c>
      <c r="AS53" s="26" t="s">
        <v>1289</v>
      </c>
      <c r="AT53" s="26" t="s">
        <v>1290</v>
      </c>
      <c r="AU53" s="26" t="s">
        <v>1291</v>
      </c>
      <c r="AV53" s="26" t="s">
        <v>1291</v>
      </c>
      <c r="AX53" s="26" t="s">
        <v>1292</v>
      </c>
      <c r="AY53" s="26" t="s">
        <v>179</v>
      </c>
      <c r="BC53" s="26" t="s">
        <v>1276</v>
      </c>
      <c r="BD53" s="26" t="s">
        <v>180</v>
      </c>
      <c r="BE53" s="26" t="s">
        <v>181</v>
      </c>
      <c r="BF53" s="26" t="s">
        <v>167</v>
      </c>
      <c r="BH53" s="26" t="s">
        <v>162</v>
      </c>
      <c r="BI53" s="26" t="s">
        <v>182</v>
      </c>
      <c r="BJ53" s="26" t="s">
        <v>1293</v>
      </c>
      <c r="BK53" s="26" t="s">
        <v>184</v>
      </c>
      <c r="BL53" s="26" t="s">
        <v>185</v>
      </c>
      <c r="BM53" s="26" t="s">
        <v>186</v>
      </c>
      <c r="BN53" s="26" t="s">
        <v>162</v>
      </c>
      <c r="BP53" s="26">
        <v>0</v>
      </c>
      <c r="BQ53" s="26" t="s">
        <v>1294</v>
      </c>
      <c r="BS53" s="26" t="s">
        <v>230</v>
      </c>
      <c r="BT53" s="26" t="s">
        <v>185</v>
      </c>
      <c r="BV53" s="26">
        <v>29.3168</v>
      </c>
      <c r="BW53" s="26">
        <v>0.16</v>
      </c>
      <c r="BZ53" s="26">
        <v>0</v>
      </c>
      <c r="CA53" s="26" t="s">
        <v>189</v>
      </c>
      <c r="CC53" s="26" t="s">
        <v>162</v>
      </c>
      <c r="CD53" s="26">
        <v>0</v>
      </c>
      <c r="CE53" s="26" t="s">
        <v>190</v>
      </c>
      <c r="CF53" s="26" t="s">
        <v>167</v>
      </c>
      <c r="CG53" s="26" t="s">
        <v>1295</v>
      </c>
      <c r="CI53" s="26" t="s">
        <v>267</v>
      </c>
      <c r="CJ53" s="26">
        <v>183.23</v>
      </c>
      <c r="CK53" s="26">
        <v>0</v>
      </c>
      <c r="CL53" s="26">
        <v>9.16</v>
      </c>
      <c r="CM53" s="26">
        <v>28.73</v>
      </c>
      <c r="CQ53" s="26" t="s">
        <v>192</v>
      </c>
      <c r="CR53" s="26" t="s">
        <v>1296</v>
      </c>
      <c r="CS53" s="26" t="s">
        <v>1297</v>
      </c>
      <c r="CW53" s="26" t="s">
        <v>1298</v>
      </c>
      <c r="CX53" s="26" t="s">
        <v>167</v>
      </c>
      <c r="CY53" s="26" t="s">
        <v>196</v>
      </c>
      <c r="CZ53" s="26">
        <v>0</v>
      </c>
      <c r="DA53" s="26" t="s">
        <v>150</v>
      </c>
      <c r="DB53" s="26">
        <v>0</v>
      </c>
      <c r="DK53" s="26" t="s">
        <v>150</v>
      </c>
      <c r="DL53" s="26" t="s">
        <v>237</v>
      </c>
      <c r="DM53" s="26" t="s">
        <v>1299</v>
      </c>
      <c r="DN53" s="26" t="s">
        <v>1300</v>
      </c>
      <c r="DO53" s="26" t="s">
        <v>1301</v>
      </c>
      <c r="DP53" s="26" t="s">
        <v>1302</v>
      </c>
      <c r="DR53" s="26" t="s">
        <v>189</v>
      </c>
      <c r="DS53" s="26" t="s">
        <v>189</v>
      </c>
      <c r="DT53" s="26" t="s">
        <v>189</v>
      </c>
      <c r="DU53" s="26" t="s">
        <v>189</v>
      </c>
      <c r="DV53" s="26" t="s">
        <v>203</v>
      </c>
      <c r="DW53" s="26" t="s">
        <v>162</v>
      </c>
      <c r="DX53" s="26" t="s">
        <v>162</v>
      </c>
      <c r="DY53" s="26">
        <v>0</v>
      </c>
      <c r="DZ53" s="26" t="s">
        <v>150</v>
      </c>
      <c r="EA53" s="26" t="s">
        <v>534</v>
      </c>
      <c r="EB53" s="26" t="s">
        <v>547</v>
      </c>
      <c r="EH53" s="26" t="s">
        <v>189</v>
      </c>
      <c r="EI53" s="26">
        <v>0.16</v>
      </c>
      <c r="EJ53" s="26">
        <v>29.3168</v>
      </c>
      <c r="EK53" s="26">
        <v>28.73</v>
      </c>
      <c r="EL53" s="26" t="s">
        <v>1303</v>
      </c>
      <c r="EM53" s="26" t="s">
        <v>206</v>
      </c>
      <c r="EN53" s="26" t="s">
        <v>207</v>
      </c>
    </row>
    <row r="54" spans="1:144">
      <c r="A54" s="26" t="s">
        <v>145</v>
      </c>
      <c r="B54" s="26" t="s">
        <v>395</v>
      </c>
      <c r="C54" s="26" t="s">
        <v>1304</v>
      </c>
      <c r="D54" s="26" t="s">
        <v>148</v>
      </c>
      <c r="E54" s="26" t="s">
        <v>149</v>
      </c>
      <c r="G54" s="26" t="s">
        <v>151</v>
      </c>
      <c r="H54" s="26" t="s">
        <v>152</v>
      </c>
      <c r="I54" s="26" t="s">
        <v>153</v>
      </c>
      <c r="J54" s="26" t="s">
        <v>154</v>
      </c>
      <c r="K54" s="26" t="s">
        <v>474</v>
      </c>
      <c r="L54" s="26" t="s">
        <v>517</v>
      </c>
      <c r="M54" s="26" t="s">
        <v>1305</v>
      </c>
      <c r="N54" s="26" t="s">
        <v>1306</v>
      </c>
      <c r="O54" s="26" t="s">
        <v>1307</v>
      </c>
      <c r="P54" s="26" t="s">
        <v>1308</v>
      </c>
      <c r="Q54" s="26" t="s">
        <v>743</v>
      </c>
      <c r="R54" s="26">
        <v>178.733</v>
      </c>
      <c r="S54" s="26" t="s">
        <v>413</v>
      </c>
      <c r="T54" s="26">
        <v>172.598</v>
      </c>
      <c r="U54" s="26" t="s">
        <v>217</v>
      </c>
      <c r="V54" s="26" t="s">
        <v>150</v>
      </c>
      <c r="Y54" s="26" t="s">
        <v>744</v>
      </c>
      <c r="Z54" s="26">
        <v>26.80995</v>
      </c>
      <c r="AA54" s="26">
        <v>0</v>
      </c>
      <c r="AB54" s="26">
        <v>0</v>
      </c>
      <c r="AC54" s="26">
        <v>30</v>
      </c>
      <c r="AD54" s="26" t="s">
        <v>958</v>
      </c>
      <c r="AE54" s="26" t="s">
        <v>958</v>
      </c>
      <c r="AF54" s="26" t="s">
        <v>958</v>
      </c>
      <c r="AG54" s="26" t="s">
        <v>1309</v>
      </c>
      <c r="AI54" s="26" t="s">
        <v>167</v>
      </c>
      <c r="AJ54" s="26" t="s">
        <v>168</v>
      </c>
      <c r="AK54" s="26" t="s">
        <v>169</v>
      </c>
      <c r="AL54" s="26" t="s">
        <v>1310</v>
      </c>
      <c r="AM54" s="26" t="s">
        <v>1311</v>
      </c>
      <c r="AN54" s="26" t="s">
        <v>172</v>
      </c>
      <c r="AO54" s="26" t="s">
        <v>1312</v>
      </c>
      <c r="AP54" s="26" t="s">
        <v>162</v>
      </c>
      <c r="AQ54" s="26" t="s">
        <v>1313</v>
      </c>
      <c r="AR54" s="26" t="s">
        <v>1314</v>
      </c>
      <c r="AS54" s="26" t="s">
        <v>1315</v>
      </c>
      <c r="AT54" s="26" t="s">
        <v>470</v>
      </c>
      <c r="AU54" s="26" t="s">
        <v>1316</v>
      </c>
      <c r="AV54" s="26" t="s">
        <v>1316</v>
      </c>
      <c r="AX54" s="26" t="s">
        <v>1317</v>
      </c>
      <c r="AY54" s="26" t="s">
        <v>179</v>
      </c>
      <c r="BC54" s="26" t="s">
        <v>1304</v>
      </c>
      <c r="BD54" s="26" t="s">
        <v>180</v>
      </c>
      <c r="BE54" s="26" t="s">
        <v>181</v>
      </c>
      <c r="BF54" s="26" t="s">
        <v>167</v>
      </c>
      <c r="BH54" s="26" t="s">
        <v>162</v>
      </c>
      <c r="BI54" s="26" t="s">
        <v>182</v>
      </c>
      <c r="BJ54" s="26" t="s">
        <v>1318</v>
      </c>
      <c r="BK54" s="26" t="s">
        <v>184</v>
      </c>
      <c r="BL54" s="26" t="s">
        <v>185</v>
      </c>
      <c r="BM54" s="26" t="s">
        <v>186</v>
      </c>
      <c r="BN54" s="26" t="s">
        <v>162</v>
      </c>
      <c r="BP54" s="26">
        <v>0</v>
      </c>
      <c r="BQ54" s="26" t="s">
        <v>494</v>
      </c>
      <c r="BS54" s="26" t="s">
        <v>230</v>
      </c>
      <c r="BT54" s="26" t="s">
        <v>185</v>
      </c>
      <c r="BV54" s="26">
        <v>28.5968</v>
      </c>
      <c r="BW54" s="26">
        <v>0.16</v>
      </c>
      <c r="BZ54" s="26">
        <v>0</v>
      </c>
      <c r="CA54" s="26" t="s">
        <v>189</v>
      </c>
      <c r="CC54" s="26" t="s">
        <v>162</v>
      </c>
      <c r="CD54" s="26">
        <v>0</v>
      </c>
      <c r="CE54" s="26" t="s">
        <v>190</v>
      </c>
      <c r="CF54" s="26" t="s">
        <v>167</v>
      </c>
      <c r="CG54" s="26" t="s">
        <v>1319</v>
      </c>
      <c r="CI54" s="26" t="s">
        <v>496</v>
      </c>
      <c r="CJ54" s="26">
        <v>178.73</v>
      </c>
      <c r="CK54" s="26">
        <v>0</v>
      </c>
      <c r="CL54" s="26">
        <v>8.94</v>
      </c>
      <c r="CM54" s="26">
        <v>22.12</v>
      </c>
      <c r="CQ54" s="26" t="s">
        <v>437</v>
      </c>
      <c r="CR54" s="26" t="s">
        <v>1320</v>
      </c>
      <c r="CS54" s="26" t="s">
        <v>1321</v>
      </c>
      <c r="CW54" s="26" t="s">
        <v>1322</v>
      </c>
      <c r="CX54" s="26" t="s">
        <v>167</v>
      </c>
      <c r="CY54" s="26" t="s">
        <v>196</v>
      </c>
      <c r="CZ54" s="26">
        <v>0</v>
      </c>
      <c r="DB54" s="26">
        <v>0</v>
      </c>
      <c r="DK54" s="26" t="s">
        <v>150</v>
      </c>
      <c r="DL54" s="26" t="s">
        <v>581</v>
      </c>
      <c r="DM54" s="26" t="s">
        <v>1323</v>
      </c>
      <c r="DN54" s="26" t="s">
        <v>1324</v>
      </c>
      <c r="DO54" s="26" t="s">
        <v>1325</v>
      </c>
      <c r="DP54" s="26" t="s">
        <v>1326</v>
      </c>
      <c r="DR54" s="26" t="s">
        <v>189</v>
      </c>
      <c r="DS54" s="26" t="s">
        <v>189</v>
      </c>
      <c r="DT54" s="26" t="s">
        <v>189</v>
      </c>
      <c r="DU54" s="26" t="s">
        <v>189</v>
      </c>
      <c r="DV54" s="26" t="s">
        <v>203</v>
      </c>
      <c r="DW54" s="26" t="s">
        <v>162</v>
      </c>
      <c r="DX54" s="26" t="s">
        <v>162</v>
      </c>
      <c r="DY54" s="26">
        <v>0</v>
      </c>
      <c r="DZ54" s="26" t="s">
        <v>150</v>
      </c>
      <c r="EA54" s="26" t="s">
        <v>470</v>
      </c>
      <c r="EB54" s="26" t="s">
        <v>471</v>
      </c>
      <c r="EH54" s="26" t="s">
        <v>189</v>
      </c>
      <c r="EI54" s="26">
        <v>0.16</v>
      </c>
      <c r="EJ54" s="26">
        <v>28.5968</v>
      </c>
      <c r="EK54" s="26">
        <v>22.12</v>
      </c>
      <c r="EL54" s="26" t="s">
        <v>1327</v>
      </c>
      <c r="EM54" s="26" t="s">
        <v>206</v>
      </c>
      <c r="EN54" s="26" t="s">
        <v>207</v>
      </c>
    </row>
    <row r="55" spans="1:144">
      <c r="A55" s="26" t="s">
        <v>145</v>
      </c>
      <c r="B55" s="26" t="s">
        <v>395</v>
      </c>
      <c r="C55" s="26" t="s">
        <v>1328</v>
      </c>
      <c r="D55" s="26" t="s">
        <v>148</v>
      </c>
      <c r="E55" s="26" t="s">
        <v>149</v>
      </c>
      <c r="G55" s="26" t="s">
        <v>151</v>
      </c>
      <c r="H55" s="26" t="s">
        <v>152</v>
      </c>
      <c r="I55" s="26" t="s">
        <v>153</v>
      </c>
      <c r="J55" s="26" t="s">
        <v>154</v>
      </c>
      <c r="K55" s="26" t="s">
        <v>1075</v>
      </c>
      <c r="L55" s="26" t="s">
        <v>1076</v>
      </c>
      <c r="M55" s="26" t="s">
        <v>1329</v>
      </c>
      <c r="N55" s="26" t="s">
        <v>1330</v>
      </c>
      <c r="O55" s="26" t="s">
        <v>1331</v>
      </c>
      <c r="P55" s="26" t="s">
        <v>1332</v>
      </c>
      <c r="Q55" s="26" t="s">
        <v>1333</v>
      </c>
      <c r="R55" s="26">
        <v>150.103</v>
      </c>
      <c r="S55" s="26" t="s">
        <v>1334</v>
      </c>
      <c r="T55" s="26">
        <v>62.986</v>
      </c>
      <c r="U55" s="26" t="s">
        <v>217</v>
      </c>
      <c r="V55" s="26" t="s">
        <v>150</v>
      </c>
      <c r="Y55" s="26" t="s">
        <v>1335</v>
      </c>
      <c r="Z55" s="26">
        <v>11.25568</v>
      </c>
      <c r="AA55" s="26">
        <v>0</v>
      </c>
      <c r="AB55" s="26">
        <v>0</v>
      </c>
      <c r="AC55" s="26">
        <v>6.3</v>
      </c>
      <c r="AD55" s="26" t="s">
        <v>1336</v>
      </c>
      <c r="AE55" s="26" t="s">
        <v>1336</v>
      </c>
      <c r="AF55" s="26" t="s">
        <v>1336</v>
      </c>
      <c r="AG55" s="26" t="s">
        <v>1337</v>
      </c>
      <c r="AI55" s="26" t="s">
        <v>167</v>
      </c>
      <c r="AJ55" s="26" t="s">
        <v>168</v>
      </c>
      <c r="AK55" s="26" t="s">
        <v>169</v>
      </c>
      <c r="AL55" s="26" t="s">
        <v>1338</v>
      </c>
      <c r="AM55" s="26" t="s">
        <v>1339</v>
      </c>
      <c r="AN55" s="26" t="s">
        <v>172</v>
      </c>
      <c r="AO55" s="26" t="s">
        <v>1340</v>
      </c>
      <c r="AP55" s="26" t="s">
        <v>162</v>
      </c>
      <c r="AQ55" s="26" t="s">
        <v>1341</v>
      </c>
      <c r="AR55" s="26" t="s">
        <v>1342</v>
      </c>
      <c r="AS55" s="26" t="s">
        <v>1343</v>
      </c>
      <c r="AU55" s="26" t="s">
        <v>1344</v>
      </c>
      <c r="AV55" s="26" t="s">
        <v>1344</v>
      </c>
      <c r="AX55" s="26" t="s">
        <v>1345</v>
      </c>
      <c r="AY55" s="26" t="s">
        <v>179</v>
      </c>
      <c r="BC55" s="26" t="s">
        <v>1328</v>
      </c>
      <c r="BD55" s="26" t="s">
        <v>180</v>
      </c>
      <c r="BE55" s="26" t="s">
        <v>1007</v>
      </c>
      <c r="BF55" s="26" t="s">
        <v>167</v>
      </c>
      <c r="BH55" s="26" t="s">
        <v>162</v>
      </c>
      <c r="BI55" s="26" t="s">
        <v>182</v>
      </c>
      <c r="BJ55" s="26" t="s">
        <v>442</v>
      </c>
      <c r="BK55" s="26" t="s">
        <v>264</v>
      </c>
      <c r="BL55" s="26" t="s">
        <v>185</v>
      </c>
      <c r="BM55" s="26" t="s">
        <v>186</v>
      </c>
      <c r="BN55" s="26" t="s">
        <v>162</v>
      </c>
      <c r="BP55" s="26">
        <v>0</v>
      </c>
      <c r="BQ55" s="26" t="s">
        <v>666</v>
      </c>
      <c r="BS55" s="26" t="s">
        <v>230</v>
      </c>
      <c r="BT55" s="26" t="s">
        <v>185</v>
      </c>
      <c r="BV55" s="26">
        <v>9.6768</v>
      </c>
      <c r="BW55" s="26">
        <v>0.14</v>
      </c>
      <c r="BZ55" s="26">
        <v>0</v>
      </c>
      <c r="CA55" s="26" t="s">
        <v>189</v>
      </c>
      <c r="CC55" s="26" t="s">
        <v>162</v>
      </c>
      <c r="CD55" s="26">
        <v>0</v>
      </c>
      <c r="CE55" s="26" t="s">
        <v>190</v>
      </c>
      <c r="CF55" s="26" t="s">
        <v>195</v>
      </c>
      <c r="CG55" s="26" t="s">
        <v>1346</v>
      </c>
      <c r="CI55" s="26" t="s">
        <v>1095</v>
      </c>
      <c r="CJ55" s="26">
        <v>69.12</v>
      </c>
      <c r="CK55" s="26">
        <v>0</v>
      </c>
      <c r="CL55" s="26">
        <v>3.46</v>
      </c>
      <c r="CM55" s="26">
        <v>26.41</v>
      </c>
      <c r="CQ55" s="26" t="s">
        <v>437</v>
      </c>
      <c r="CR55" s="26" t="s">
        <v>1347</v>
      </c>
      <c r="CS55" s="26" t="s">
        <v>1348</v>
      </c>
      <c r="CW55" s="26" t="s">
        <v>1349</v>
      </c>
      <c r="CX55" s="26" t="s">
        <v>167</v>
      </c>
      <c r="CY55" s="26" t="s">
        <v>196</v>
      </c>
      <c r="CZ55" s="26">
        <v>0</v>
      </c>
      <c r="DB55" s="26">
        <v>0</v>
      </c>
      <c r="DK55" s="26" t="s">
        <v>150</v>
      </c>
      <c r="DL55" s="26" t="s">
        <v>838</v>
      </c>
      <c r="DM55" s="26" t="s">
        <v>1350</v>
      </c>
      <c r="DN55" s="26" t="s">
        <v>1351</v>
      </c>
      <c r="DO55" s="26" t="s">
        <v>1352</v>
      </c>
      <c r="DP55" s="26" t="s">
        <v>1353</v>
      </c>
      <c r="DR55" s="26" t="s">
        <v>189</v>
      </c>
      <c r="DS55" s="26" t="s">
        <v>189</v>
      </c>
      <c r="DT55" s="26" t="s">
        <v>189</v>
      </c>
      <c r="DU55" s="26" t="s">
        <v>189</v>
      </c>
      <c r="DV55" s="26" t="s">
        <v>203</v>
      </c>
      <c r="DW55" s="26" t="s">
        <v>162</v>
      </c>
      <c r="DX55" s="26" t="s">
        <v>162</v>
      </c>
      <c r="DY55" s="26">
        <v>0</v>
      </c>
      <c r="DZ55" s="26" t="s">
        <v>150</v>
      </c>
      <c r="EH55" s="26" t="s">
        <v>189</v>
      </c>
      <c r="EI55" s="26">
        <v>0.14</v>
      </c>
      <c r="EJ55" s="26">
        <v>9.6768</v>
      </c>
      <c r="EK55" s="26">
        <v>26.41</v>
      </c>
      <c r="EL55" s="26" t="s">
        <v>1354</v>
      </c>
      <c r="EM55" s="26" t="s">
        <v>206</v>
      </c>
      <c r="EN55" s="26" t="s">
        <v>207</v>
      </c>
    </row>
    <row r="56" spans="1:144">
      <c r="A56" s="26" t="s">
        <v>145</v>
      </c>
      <c r="B56" s="26" t="s">
        <v>395</v>
      </c>
      <c r="C56" s="26" t="s">
        <v>1328</v>
      </c>
      <c r="D56" s="26" t="s">
        <v>148</v>
      </c>
      <c r="E56" s="26" t="s">
        <v>149</v>
      </c>
      <c r="G56" s="26" t="s">
        <v>151</v>
      </c>
      <c r="H56" s="26" t="s">
        <v>152</v>
      </c>
      <c r="I56" s="26" t="s">
        <v>153</v>
      </c>
      <c r="J56" s="26" t="s">
        <v>154</v>
      </c>
      <c r="K56" s="26" t="s">
        <v>1075</v>
      </c>
      <c r="L56" s="26" t="s">
        <v>1076</v>
      </c>
      <c r="M56" s="26" t="s">
        <v>1329</v>
      </c>
      <c r="O56" s="26" t="s">
        <v>1355</v>
      </c>
      <c r="P56" s="26" t="s">
        <v>1356</v>
      </c>
      <c r="S56" s="26" t="s">
        <v>1357</v>
      </c>
      <c r="T56" s="26">
        <v>74.847</v>
      </c>
      <c r="U56" s="26" t="s">
        <v>217</v>
      </c>
      <c r="V56" s="26" t="s">
        <v>150</v>
      </c>
      <c r="Y56" s="26" t="s">
        <v>1335</v>
      </c>
      <c r="Z56" s="26">
        <v>11.25568</v>
      </c>
      <c r="AA56" s="26">
        <v>0</v>
      </c>
      <c r="AB56" s="26">
        <v>0</v>
      </c>
      <c r="AC56" s="26">
        <v>9</v>
      </c>
      <c r="AD56" s="26" t="s">
        <v>1358</v>
      </c>
      <c r="AE56" s="26" t="s">
        <v>1358</v>
      </c>
      <c r="AF56" s="26" t="s">
        <v>1358</v>
      </c>
      <c r="AG56" s="26" t="s">
        <v>1359</v>
      </c>
      <c r="AI56" s="26" t="s">
        <v>167</v>
      </c>
      <c r="AJ56" s="26" t="s">
        <v>168</v>
      </c>
      <c r="AK56" s="26" t="s">
        <v>169</v>
      </c>
      <c r="AM56" s="26" t="s">
        <v>1360</v>
      </c>
      <c r="AN56" s="26" t="s">
        <v>172</v>
      </c>
      <c r="AO56" s="26" t="s">
        <v>1087</v>
      </c>
      <c r="AP56" s="26" t="s">
        <v>162</v>
      </c>
      <c r="AQ56" s="26" t="s">
        <v>1341</v>
      </c>
      <c r="AR56" s="26" t="s">
        <v>1342</v>
      </c>
      <c r="AS56" s="26" t="s">
        <v>1289</v>
      </c>
      <c r="AU56" s="26" t="s">
        <v>1344</v>
      </c>
      <c r="AV56" s="26" t="s">
        <v>1344</v>
      </c>
      <c r="AX56" s="26" t="s">
        <v>1361</v>
      </c>
      <c r="AY56" s="26" t="s">
        <v>179</v>
      </c>
      <c r="BC56" s="26" t="s">
        <v>1328</v>
      </c>
      <c r="BD56" s="26" t="s">
        <v>180</v>
      </c>
      <c r="BE56" s="26" t="s">
        <v>1007</v>
      </c>
      <c r="BF56" s="26" t="s">
        <v>167</v>
      </c>
      <c r="BH56" s="26" t="s">
        <v>162</v>
      </c>
      <c r="BI56" s="26" t="s">
        <v>182</v>
      </c>
      <c r="BJ56" s="26" t="s">
        <v>1362</v>
      </c>
      <c r="BK56" s="26" t="s">
        <v>264</v>
      </c>
      <c r="BL56" s="26" t="s">
        <v>185</v>
      </c>
      <c r="BM56" s="26" t="s">
        <v>186</v>
      </c>
      <c r="BN56" s="26" t="s">
        <v>162</v>
      </c>
      <c r="BP56" s="26">
        <v>0</v>
      </c>
      <c r="BQ56" s="26" t="s">
        <v>776</v>
      </c>
      <c r="BS56" s="26" t="s">
        <v>354</v>
      </c>
      <c r="BT56" s="26" t="s">
        <v>185</v>
      </c>
      <c r="BV56" s="26">
        <v>11.3372</v>
      </c>
      <c r="BW56" s="26">
        <v>0.14</v>
      </c>
      <c r="BZ56" s="26">
        <v>0</v>
      </c>
      <c r="CA56" s="26" t="s">
        <v>189</v>
      </c>
      <c r="CC56" s="26" t="s">
        <v>162</v>
      </c>
      <c r="CD56" s="26">
        <v>0</v>
      </c>
      <c r="CE56" s="26" t="s">
        <v>190</v>
      </c>
      <c r="CF56" s="26" t="s">
        <v>167</v>
      </c>
      <c r="CG56" s="26" t="s">
        <v>1363</v>
      </c>
      <c r="CI56" s="26" t="s">
        <v>1095</v>
      </c>
      <c r="CJ56" s="26">
        <v>80.98</v>
      </c>
      <c r="CK56" s="26">
        <v>0</v>
      </c>
      <c r="CL56" s="26">
        <v>4.05</v>
      </c>
      <c r="CM56" s="26">
        <v>26.32</v>
      </c>
      <c r="CQ56" s="26" t="s">
        <v>192</v>
      </c>
      <c r="CR56" s="26" t="s">
        <v>1347</v>
      </c>
      <c r="CS56" s="26" t="s">
        <v>1348</v>
      </c>
      <c r="CW56" s="26" t="s">
        <v>1364</v>
      </c>
      <c r="CX56" s="26" t="s">
        <v>162</v>
      </c>
      <c r="CY56" s="26" t="s">
        <v>196</v>
      </c>
      <c r="CZ56" s="26">
        <v>0</v>
      </c>
      <c r="DB56" s="26">
        <v>0</v>
      </c>
      <c r="DK56" s="26" t="s">
        <v>150</v>
      </c>
      <c r="DL56" s="26" t="s">
        <v>838</v>
      </c>
      <c r="DM56" s="26" t="s">
        <v>1350</v>
      </c>
      <c r="DN56" s="26" t="s">
        <v>1351</v>
      </c>
      <c r="DO56" s="26" t="s">
        <v>1352</v>
      </c>
      <c r="DP56" s="26" t="s">
        <v>1353</v>
      </c>
      <c r="DR56" s="26" t="s">
        <v>189</v>
      </c>
      <c r="DS56" s="26" t="s">
        <v>189</v>
      </c>
      <c r="DT56" s="26" t="s">
        <v>189</v>
      </c>
      <c r="DU56" s="26" t="s">
        <v>189</v>
      </c>
      <c r="DV56" s="26" t="s">
        <v>203</v>
      </c>
      <c r="DW56" s="26" t="s">
        <v>162</v>
      </c>
      <c r="DX56" s="26" t="s">
        <v>162</v>
      </c>
      <c r="DY56" s="26">
        <v>0</v>
      </c>
      <c r="DZ56" s="26" t="s">
        <v>150</v>
      </c>
      <c r="EH56" s="26" t="s">
        <v>189</v>
      </c>
      <c r="EI56" s="26">
        <v>0.14</v>
      </c>
      <c r="EJ56" s="26">
        <v>11.3372</v>
      </c>
      <c r="EK56" s="26">
        <v>26.32</v>
      </c>
      <c r="EL56" s="26" t="s">
        <v>1365</v>
      </c>
      <c r="EM56" s="26" t="s">
        <v>206</v>
      </c>
      <c r="EN56" s="26" t="s">
        <v>207</v>
      </c>
    </row>
    <row r="57" spans="1:144">
      <c r="A57" s="26" t="s">
        <v>145</v>
      </c>
      <c r="B57" s="26" t="s">
        <v>395</v>
      </c>
      <c r="C57" s="26" t="s">
        <v>1366</v>
      </c>
      <c r="D57" s="26" t="s">
        <v>148</v>
      </c>
      <c r="E57" s="26" t="s">
        <v>149</v>
      </c>
      <c r="G57" s="26" t="s">
        <v>151</v>
      </c>
      <c r="H57" s="26" t="s">
        <v>152</v>
      </c>
      <c r="I57" s="26" t="s">
        <v>153</v>
      </c>
      <c r="J57" s="26" t="s">
        <v>154</v>
      </c>
      <c r="K57" s="26" t="s">
        <v>989</v>
      </c>
      <c r="L57" s="26" t="s">
        <v>1367</v>
      </c>
      <c r="M57" s="26" t="s">
        <v>1368</v>
      </c>
      <c r="N57" s="26" t="s">
        <v>1369</v>
      </c>
      <c r="O57" s="26" t="s">
        <v>1370</v>
      </c>
      <c r="P57" s="26" t="s">
        <v>1371</v>
      </c>
      <c r="Q57" s="26" t="s">
        <v>1372</v>
      </c>
      <c r="R57" s="26">
        <v>138.651</v>
      </c>
      <c r="S57" s="26" t="s">
        <v>1373</v>
      </c>
      <c r="T57" s="26">
        <v>132.516</v>
      </c>
      <c r="U57" s="26" t="s">
        <v>217</v>
      </c>
      <c r="V57" s="26" t="s">
        <v>150</v>
      </c>
      <c r="Y57" s="26" t="s">
        <v>1374</v>
      </c>
      <c r="Z57" s="26">
        <v>20.79765</v>
      </c>
      <c r="AA57" s="26">
        <v>0</v>
      </c>
      <c r="AB57" s="26">
        <v>0</v>
      </c>
      <c r="AC57" s="26">
        <v>31.85</v>
      </c>
      <c r="AD57" s="26" t="s">
        <v>1375</v>
      </c>
      <c r="AE57" s="26" t="s">
        <v>1375</v>
      </c>
      <c r="AF57" s="26" t="s">
        <v>1375</v>
      </c>
      <c r="AG57" s="26" t="s">
        <v>1376</v>
      </c>
      <c r="AH57" s="26" t="s">
        <v>1236</v>
      </c>
      <c r="AI57" s="26" t="s">
        <v>167</v>
      </c>
      <c r="AJ57" s="26" t="s">
        <v>797</v>
      </c>
      <c r="AK57" s="26" t="s">
        <v>798</v>
      </c>
      <c r="AL57" s="26" t="s">
        <v>1377</v>
      </c>
      <c r="AM57" s="26" t="s">
        <v>1377</v>
      </c>
      <c r="AN57" s="26" t="s">
        <v>172</v>
      </c>
      <c r="AO57" s="26" t="s">
        <v>1378</v>
      </c>
      <c r="AP57" s="26" t="s">
        <v>162</v>
      </c>
      <c r="AQ57" s="26" t="s">
        <v>1379</v>
      </c>
      <c r="AR57" s="26" t="s">
        <v>1380</v>
      </c>
      <c r="AS57" s="26" t="s">
        <v>1381</v>
      </c>
      <c r="AT57" s="26" t="s">
        <v>1382</v>
      </c>
      <c r="AU57" s="26" t="s">
        <v>1383</v>
      </c>
      <c r="AV57" s="26" t="s">
        <v>150</v>
      </c>
      <c r="AX57" s="26" t="s">
        <v>1384</v>
      </c>
      <c r="AY57" s="26" t="s">
        <v>179</v>
      </c>
      <c r="BC57" s="26" t="s">
        <v>1366</v>
      </c>
      <c r="BD57" s="26" t="s">
        <v>180</v>
      </c>
      <c r="BE57" s="26" t="s">
        <v>1007</v>
      </c>
      <c r="BF57" s="26" t="s">
        <v>167</v>
      </c>
      <c r="BH57" s="26" t="s">
        <v>162</v>
      </c>
      <c r="BI57" s="26" t="s">
        <v>807</v>
      </c>
      <c r="BJ57" s="26" t="s">
        <v>1385</v>
      </c>
      <c r="BK57" s="26" t="s">
        <v>184</v>
      </c>
      <c r="BL57" s="26" t="s">
        <v>185</v>
      </c>
      <c r="BM57" s="26" t="s">
        <v>186</v>
      </c>
      <c r="BN57" s="26" t="s">
        <v>162</v>
      </c>
      <c r="BP57" s="26">
        <v>0</v>
      </c>
      <c r="BQ57" s="26" t="s">
        <v>1386</v>
      </c>
      <c r="BS57" s="26" t="s">
        <v>188</v>
      </c>
      <c r="BT57" s="26" t="s">
        <v>185</v>
      </c>
      <c r="BV57" s="26">
        <v>8.319</v>
      </c>
      <c r="BW57" s="26">
        <v>0.06</v>
      </c>
      <c r="BZ57" s="26">
        <v>0</v>
      </c>
      <c r="CA57" s="26" t="s">
        <v>189</v>
      </c>
      <c r="CC57" s="26" t="s">
        <v>162</v>
      </c>
      <c r="CD57" s="26">
        <v>0</v>
      </c>
      <c r="CE57" s="26" t="s">
        <v>190</v>
      </c>
      <c r="CF57" s="26" t="s">
        <v>167</v>
      </c>
      <c r="CG57" s="26" t="s">
        <v>1387</v>
      </c>
      <c r="CI57" s="26" t="s">
        <v>1009</v>
      </c>
      <c r="CJ57" s="26">
        <v>138.65</v>
      </c>
      <c r="CK57" s="26">
        <v>0</v>
      </c>
      <c r="CL57" s="26">
        <v>6.93</v>
      </c>
      <c r="CM57" s="26">
        <v>26.34</v>
      </c>
      <c r="CQ57" s="26" t="s">
        <v>605</v>
      </c>
      <c r="CR57" s="26" t="s">
        <v>1388</v>
      </c>
      <c r="CS57" s="26" t="s">
        <v>1389</v>
      </c>
      <c r="CW57" s="26" t="s">
        <v>1390</v>
      </c>
      <c r="CX57" s="26" t="s">
        <v>305</v>
      </c>
      <c r="CY57" s="26" t="s">
        <v>196</v>
      </c>
      <c r="CZ57" s="26">
        <v>0</v>
      </c>
      <c r="DB57" s="26">
        <v>0</v>
      </c>
      <c r="DK57" s="26" t="s">
        <v>150</v>
      </c>
      <c r="DL57" s="26" t="s">
        <v>1391</v>
      </c>
      <c r="DM57" s="26" t="s">
        <v>1392</v>
      </c>
      <c r="DN57" s="26" t="s">
        <v>1393</v>
      </c>
      <c r="DO57" s="26" t="s">
        <v>1394</v>
      </c>
      <c r="DP57" s="26" t="s">
        <v>1395</v>
      </c>
      <c r="DR57" s="26" t="s">
        <v>189</v>
      </c>
      <c r="DS57" s="26" t="s">
        <v>189</v>
      </c>
      <c r="DT57" s="26" t="s">
        <v>189</v>
      </c>
      <c r="DU57" s="26" t="s">
        <v>189</v>
      </c>
      <c r="DV57" s="26" t="s">
        <v>203</v>
      </c>
      <c r="DW57" s="26" t="s">
        <v>162</v>
      </c>
      <c r="DX57" s="26" t="s">
        <v>162</v>
      </c>
      <c r="DY57" s="26">
        <v>0</v>
      </c>
      <c r="DZ57" s="26" t="s">
        <v>150</v>
      </c>
      <c r="EA57" s="26" t="s">
        <v>1396</v>
      </c>
      <c r="EB57" s="26" t="s">
        <v>1397</v>
      </c>
      <c r="EC57" s="26" t="s">
        <v>1398</v>
      </c>
      <c r="ED57" s="26" t="s">
        <v>1399</v>
      </c>
      <c r="EH57" s="26" t="s">
        <v>189</v>
      </c>
      <c r="EI57" s="26">
        <v>0.06</v>
      </c>
      <c r="EJ57" s="26">
        <v>8.319</v>
      </c>
      <c r="EK57" s="26">
        <v>26.34</v>
      </c>
      <c r="EL57" s="26" t="s">
        <v>1400</v>
      </c>
      <c r="EM57" s="26" t="s">
        <v>206</v>
      </c>
      <c r="EN57" s="26" t="s">
        <v>207</v>
      </c>
    </row>
    <row r="58" spans="1:144">
      <c r="A58" s="26" t="s">
        <v>145</v>
      </c>
      <c r="B58" s="26" t="s">
        <v>395</v>
      </c>
      <c r="C58" s="26" t="s">
        <v>1401</v>
      </c>
      <c r="D58" s="26" t="s">
        <v>148</v>
      </c>
      <c r="E58" s="26" t="s">
        <v>149</v>
      </c>
      <c r="F58" s="26" t="s">
        <v>150</v>
      </c>
      <c r="G58" s="26" t="s">
        <v>151</v>
      </c>
      <c r="H58" s="26" t="s">
        <v>152</v>
      </c>
      <c r="I58" s="26" t="s">
        <v>153</v>
      </c>
      <c r="J58" s="26" t="s">
        <v>154</v>
      </c>
      <c r="K58" s="26" t="s">
        <v>209</v>
      </c>
      <c r="L58" s="26" t="s">
        <v>210</v>
      </c>
      <c r="M58" s="26" t="s">
        <v>1402</v>
      </c>
      <c r="N58" s="26" t="s">
        <v>1403</v>
      </c>
      <c r="O58" s="26" t="s">
        <v>1404</v>
      </c>
      <c r="P58" s="26" t="s">
        <v>1405</v>
      </c>
      <c r="Q58" s="26" t="s">
        <v>1406</v>
      </c>
      <c r="R58" s="26">
        <v>222.087</v>
      </c>
      <c r="S58" s="26" t="s">
        <v>1407</v>
      </c>
      <c r="T58" s="26">
        <v>215.952</v>
      </c>
      <c r="U58" s="26" t="s">
        <v>217</v>
      </c>
      <c r="V58" s="26" t="s">
        <v>150</v>
      </c>
      <c r="Y58" s="26" t="s">
        <v>1408</v>
      </c>
      <c r="Z58" s="26">
        <v>33.31305</v>
      </c>
      <c r="AA58" s="26">
        <v>0</v>
      </c>
      <c r="AB58" s="26">
        <v>0</v>
      </c>
      <c r="AC58" s="26">
        <v>37</v>
      </c>
      <c r="AD58" s="26" t="s">
        <v>483</v>
      </c>
      <c r="AE58" s="26" t="s">
        <v>483</v>
      </c>
      <c r="AF58" s="26" t="s">
        <v>483</v>
      </c>
      <c r="AG58" s="26" t="s">
        <v>1409</v>
      </c>
      <c r="AI58" s="26" t="s">
        <v>167</v>
      </c>
      <c r="AJ58" s="26" t="s">
        <v>168</v>
      </c>
      <c r="AK58" s="26" t="s">
        <v>169</v>
      </c>
      <c r="AL58" s="26" t="s">
        <v>1410</v>
      </c>
      <c r="AM58" s="26" t="s">
        <v>1407</v>
      </c>
      <c r="AN58" s="26" t="s">
        <v>172</v>
      </c>
      <c r="AO58" s="26" t="s">
        <v>1411</v>
      </c>
      <c r="AP58" s="26" t="s">
        <v>162</v>
      </c>
      <c r="AQ58" s="26" t="s">
        <v>1412</v>
      </c>
      <c r="AR58" s="26" t="s">
        <v>1413</v>
      </c>
      <c r="AS58" s="26" t="s">
        <v>321</v>
      </c>
      <c r="AU58" s="26" t="s">
        <v>1414</v>
      </c>
      <c r="AV58" s="26" t="s">
        <v>1414</v>
      </c>
      <c r="AX58" s="26" t="s">
        <v>1415</v>
      </c>
      <c r="AY58" s="26" t="s">
        <v>179</v>
      </c>
      <c r="BC58" s="26" t="s">
        <v>1401</v>
      </c>
      <c r="BD58" s="26" t="s">
        <v>180</v>
      </c>
      <c r="BE58" s="26" t="s">
        <v>181</v>
      </c>
      <c r="BF58" s="26" t="s">
        <v>167</v>
      </c>
      <c r="BH58" s="26" t="s">
        <v>162</v>
      </c>
      <c r="BI58" s="26" t="s">
        <v>182</v>
      </c>
      <c r="BJ58" s="26" t="s">
        <v>1416</v>
      </c>
      <c r="BK58" s="26" t="s">
        <v>184</v>
      </c>
      <c r="BL58" s="26" t="s">
        <v>185</v>
      </c>
      <c r="BM58" s="26" t="s">
        <v>186</v>
      </c>
      <c r="BN58" s="26" t="s">
        <v>162</v>
      </c>
      <c r="BP58" s="26">
        <v>0</v>
      </c>
      <c r="BQ58" s="26" t="s">
        <v>353</v>
      </c>
      <c r="BS58" s="26" t="s">
        <v>354</v>
      </c>
      <c r="BT58" s="26" t="s">
        <v>185</v>
      </c>
      <c r="BV58" s="26">
        <v>31.0926</v>
      </c>
      <c r="BW58" s="26">
        <v>0.14</v>
      </c>
      <c r="BZ58" s="26">
        <v>0</v>
      </c>
      <c r="CA58" s="26" t="s">
        <v>189</v>
      </c>
      <c r="CC58" s="26" t="s">
        <v>162</v>
      </c>
      <c r="CD58" s="26">
        <v>0</v>
      </c>
      <c r="CE58" s="26" t="s">
        <v>190</v>
      </c>
      <c r="CF58" s="26" t="s">
        <v>167</v>
      </c>
      <c r="CG58" s="26" t="s">
        <v>1417</v>
      </c>
      <c r="CI58" s="26" t="s">
        <v>232</v>
      </c>
      <c r="CJ58" s="26">
        <v>222.09</v>
      </c>
      <c r="CK58" s="26">
        <v>0</v>
      </c>
      <c r="CL58" s="26">
        <v>11.1</v>
      </c>
      <c r="CM58" s="26">
        <v>39.13</v>
      </c>
      <c r="CQ58" s="26" t="s">
        <v>233</v>
      </c>
      <c r="CR58" s="26" t="s">
        <v>1418</v>
      </c>
      <c r="CS58" s="26" t="s">
        <v>1419</v>
      </c>
      <c r="CW58" s="26" t="s">
        <v>1420</v>
      </c>
      <c r="CX58" s="26" t="s">
        <v>162</v>
      </c>
      <c r="CY58" s="26" t="s">
        <v>196</v>
      </c>
      <c r="CZ58" s="26">
        <v>0</v>
      </c>
      <c r="DA58" s="26" t="s">
        <v>150</v>
      </c>
      <c r="DB58" s="26">
        <v>0</v>
      </c>
      <c r="DK58" s="26" t="s">
        <v>150</v>
      </c>
      <c r="DL58" s="26" t="s">
        <v>1421</v>
      </c>
      <c r="DM58" s="26" t="s">
        <v>1422</v>
      </c>
      <c r="DN58" s="26" t="s">
        <v>1423</v>
      </c>
      <c r="DO58" s="26" t="s">
        <v>1424</v>
      </c>
      <c r="DP58" s="26" t="s">
        <v>1425</v>
      </c>
      <c r="DR58" s="26" t="s">
        <v>189</v>
      </c>
      <c r="DS58" s="26" t="s">
        <v>189</v>
      </c>
      <c r="DT58" s="26" t="s">
        <v>189</v>
      </c>
      <c r="DU58" s="26" t="s">
        <v>189</v>
      </c>
      <c r="DV58" s="26" t="s">
        <v>203</v>
      </c>
      <c r="DW58" s="26" t="s">
        <v>162</v>
      </c>
      <c r="DX58" s="26" t="s">
        <v>162</v>
      </c>
      <c r="DY58" s="26">
        <v>0</v>
      </c>
      <c r="DZ58" s="26" t="s">
        <v>150</v>
      </c>
      <c r="EH58" s="26" t="s">
        <v>189</v>
      </c>
      <c r="EI58" s="26">
        <v>0.14</v>
      </c>
      <c r="EJ58" s="26">
        <v>31.0926</v>
      </c>
      <c r="EK58" s="26">
        <v>39.13</v>
      </c>
      <c r="EL58" s="26" t="s">
        <v>1426</v>
      </c>
      <c r="EM58" s="26" t="s">
        <v>206</v>
      </c>
      <c r="EN58" s="26" t="s">
        <v>207</v>
      </c>
    </row>
    <row r="59" spans="1:144">
      <c r="A59" s="26" t="s">
        <v>145</v>
      </c>
      <c r="B59" s="26" t="s">
        <v>395</v>
      </c>
      <c r="C59" s="26" t="s">
        <v>1427</v>
      </c>
      <c r="D59" s="26" t="s">
        <v>148</v>
      </c>
      <c r="E59" s="26" t="s">
        <v>149</v>
      </c>
      <c r="G59" s="26" t="s">
        <v>151</v>
      </c>
      <c r="H59" s="26" t="s">
        <v>152</v>
      </c>
      <c r="I59" s="26" t="s">
        <v>153</v>
      </c>
      <c r="J59" s="26" t="s">
        <v>154</v>
      </c>
      <c r="K59" s="26" t="s">
        <v>209</v>
      </c>
      <c r="L59" s="26" t="s">
        <v>1428</v>
      </c>
      <c r="M59" s="26" t="s">
        <v>1429</v>
      </c>
      <c r="N59" s="26" t="s">
        <v>1430</v>
      </c>
      <c r="O59" s="26" t="s">
        <v>1431</v>
      </c>
      <c r="P59" s="26" t="s">
        <v>1432</v>
      </c>
      <c r="Q59" s="26" t="s">
        <v>980</v>
      </c>
      <c r="R59" s="26">
        <v>154.193</v>
      </c>
      <c r="S59" s="26" t="s">
        <v>170</v>
      </c>
      <c r="T59" s="26">
        <v>148.058</v>
      </c>
      <c r="U59" s="26" t="s">
        <v>217</v>
      </c>
      <c r="V59" s="26" t="s">
        <v>150</v>
      </c>
      <c r="Y59" s="26" t="s">
        <v>593</v>
      </c>
      <c r="Z59" s="26">
        <v>23.12895</v>
      </c>
      <c r="AA59" s="26">
        <v>0</v>
      </c>
      <c r="AB59" s="26">
        <v>0</v>
      </c>
      <c r="AC59" s="26">
        <v>26</v>
      </c>
      <c r="AD59" s="26" t="s">
        <v>1433</v>
      </c>
      <c r="AE59" s="26" t="s">
        <v>1434</v>
      </c>
      <c r="AF59" s="26" t="s">
        <v>1434</v>
      </c>
      <c r="AG59" s="26" t="s">
        <v>1435</v>
      </c>
      <c r="AI59" s="26" t="s">
        <v>167</v>
      </c>
      <c r="AJ59" s="26" t="s">
        <v>168</v>
      </c>
      <c r="AK59" s="26" t="s">
        <v>169</v>
      </c>
      <c r="AL59" s="26" t="s">
        <v>294</v>
      </c>
      <c r="AM59" s="26" t="s">
        <v>1436</v>
      </c>
      <c r="AN59" s="26" t="s">
        <v>172</v>
      </c>
      <c r="AO59" s="26" t="s">
        <v>494</v>
      </c>
      <c r="AP59" s="26" t="s">
        <v>162</v>
      </c>
      <c r="AQ59" s="26" t="s">
        <v>1437</v>
      </c>
      <c r="AR59" s="26" t="s">
        <v>1438</v>
      </c>
      <c r="AS59" s="26" t="s">
        <v>1439</v>
      </c>
      <c r="AT59" s="26" t="s">
        <v>470</v>
      </c>
      <c r="AU59" s="26" t="s">
        <v>1440</v>
      </c>
      <c r="AV59" s="26" t="s">
        <v>1440</v>
      </c>
      <c r="AX59" s="26" t="s">
        <v>1441</v>
      </c>
      <c r="AY59" s="26" t="s">
        <v>179</v>
      </c>
      <c r="BC59" s="26" t="s">
        <v>1427</v>
      </c>
      <c r="BD59" s="26" t="s">
        <v>180</v>
      </c>
      <c r="BE59" s="26" t="s">
        <v>181</v>
      </c>
      <c r="BF59" s="26" t="s">
        <v>167</v>
      </c>
      <c r="BH59" s="26" t="s">
        <v>162</v>
      </c>
      <c r="BI59" s="26" t="s">
        <v>182</v>
      </c>
      <c r="BJ59" s="26" t="s">
        <v>694</v>
      </c>
      <c r="BK59" s="26" t="s">
        <v>184</v>
      </c>
      <c r="BL59" s="26" t="s">
        <v>185</v>
      </c>
      <c r="BM59" s="26" t="s">
        <v>186</v>
      </c>
      <c r="BN59" s="26" t="s">
        <v>162</v>
      </c>
      <c r="BP59" s="26">
        <v>0</v>
      </c>
      <c r="BQ59" s="26" t="s">
        <v>494</v>
      </c>
      <c r="BS59" s="26" t="s">
        <v>230</v>
      </c>
      <c r="BT59" s="26" t="s">
        <v>185</v>
      </c>
      <c r="BV59" s="26">
        <v>21.5866</v>
      </c>
      <c r="BW59" s="26">
        <v>0.14</v>
      </c>
      <c r="BZ59" s="26">
        <v>0.9</v>
      </c>
      <c r="CA59" s="26" t="s">
        <v>189</v>
      </c>
      <c r="CC59" s="26" t="s">
        <v>162</v>
      </c>
      <c r="CD59" s="26">
        <v>0</v>
      </c>
      <c r="CE59" s="26" t="s">
        <v>190</v>
      </c>
      <c r="CF59" s="26" t="s">
        <v>167</v>
      </c>
      <c r="CG59" s="26" t="s">
        <v>1442</v>
      </c>
      <c r="CI59" s="26" t="s">
        <v>232</v>
      </c>
      <c r="CJ59" s="26">
        <v>154.19</v>
      </c>
      <c r="CK59" s="26">
        <v>0</v>
      </c>
      <c r="CL59" s="26">
        <v>7.71</v>
      </c>
      <c r="CM59" s="26">
        <v>27.86</v>
      </c>
      <c r="CQ59" s="26" t="s">
        <v>605</v>
      </c>
      <c r="CR59" s="26" t="s">
        <v>1443</v>
      </c>
      <c r="CS59" s="26" t="s">
        <v>1444</v>
      </c>
      <c r="CW59" s="26" t="s">
        <v>1445</v>
      </c>
      <c r="CX59" s="26" t="s">
        <v>167</v>
      </c>
      <c r="CY59" s="26" t="s">
        <v>196</v>
      </c>
      <c r="CZ59" s="26">
        <v>0</v>
      </c>
      <c r="DB59" s="26">
        <v>0</v>
      </c>
      <c r="DK59" s="26" t="s">
        <v>150</v>
      </c>
      <c r="DL59" s="26" t="s">
        <v>1446</v>
      </c>
      <c r="DM59" s="26" t="s">
        <v>1447</v>
      </c>
      <c r="DN59" s="26" t="s">
        <v>1448</v>
      </c>
      <c r="DO59" s="26" t="s">
        <v>1449</v>
      </c>
      <c r="DP59" s="26" t="s">
        <v>1450</v>
      </c>
      <c r="DR59" s="26" t="s">
        <v>189</v>
      </c>
      <c r="DS59" s="26" t="s">
        <v>189</v>
      </c>
      <c r="DT59" s="26" t="s">
        <v>189</v>
      </c>
      <c r="DU59" s="26" t="s">
        <v>189</v>
      </c>
      <c r="DV59" s="26" t="s">
        <v>203</v>
      </c>
      <c r="DW59" s="26" t="s">
        <v>162</v>
      </c>
      <c r="DX59" s="26" t="s">
        <v>162</v>
      </c>
      <c r="DY59" s="26">
        <v>0</v>
      </c>
      <c r="DZ59" s="26" t="s">
        <v>150</v>
      </c>
      <c r="EA59" s="26" t="s">
        <v>470</v>
      </c>
      <c r="EB59" s="26" t="s">
        <v>471</v>
      </c>
      <c r="EH59" s="26" t="s">
        <v>189</v>
      </c>
      <c r="EI59" s="26">
        <v>0.14</v>
      </c>
      <c r="EJ59" s="26">
        <v>21.5866</v>
      </c>
      <c r="EK59" s="26">
        <v>27.86</v>
      </c>
      <c r="EL59" s="26" t="s">
        <v>1451</v>
      </c>
      <c r="EM59" s="26" t="s">
        <v>206</v>
      </c>
      <c r="EN59" s="26" t="s">
        <v>207</v>
      </c>
    </row>
    <row r="60" spans="1:144">
      <c r="A60" s="26" t="s">
        <v>145</v>
      </c>
      <c r="B60" s="26" t="s">
        <v>1452</v>
      </c>
      <c r="C60" s="26" t="s">
        <v>1453</v>
      </c>
      <c r="D60" s="26" t="s">
        <v>148</v>
      </c>
      <c r="E60" s="26" t="s">
        <v>149</v>
      </c>
      <c r="F60" s="26" t="s">
        <v>150</v>
      </c>
      <c r="G60" s="26" t="s">
        <v>151</v>
      </c>
      <c r="H60" s="26" t="s">
        <v>152</v>
      </c>
      <c r="I60" s="26" t="s">
        <v>153</v>
      </c>
      <c r="J60" s="26" t="s">
        <v>154</v>
      </c>
      <c r="K60" s="26" t="s">
        <v>244</v>
      </c>
      <c r="L60" s="26" t="s">
        <v>765</v>
      </c>
      <c r="M60" s="26" t="s">
        <v>1454</v>
      </c>
      <c r="N60" s="26" t="s">
        <v>1455</v>
      </c>
      <c r="O60" s="26" t="s">
        <v>1456</v>
      </c>
      <c r="P60" s="26" t="s">
        <v>1457</v>
      </c>
      <c r="Q60" s="26" t="s">
        <v>1458</v>
      </c>
      <c r="R60" s="26">
        <v>548.167</v>
      </c>
      <c r="S60" s="26" t="s">
        <v>1459</v>
      </c>
      <c r="T60" s="26">
        <v>125.513</v>
      </c>
      <c r="U60" s="26" t="s">
        <v>217</v>
      </c>
      <c r="V60" s="26" t="s">
        <v>150</v>
      </c>
      <c r="Y60" s="26" t="s">
        <v>1460</v>
      </c>
      <c r="Z60" s="26">
        <v>20.55526</v>
      </c>
      <c r="AA60" s="26">
        <v>0</v>
      </c>
      <c r="AB60" s="26">
        <v>0</v>
      </c>
      <c r="AC60" s="26">
        <v>23</v>
      </c>
      <c r="AD60" s="26" t="s">
        <v>1461</v>
      </c>
      <c r="AE60" s="26" t="s">
        <v>1461</v>
      </c>
      <c r="AF60" s="26" t="s">
        <v>1461</v>
      </c>
      <c r="AG60" s="26" t="s">
        <v>1462</v>
      </c>
      <c r="AI60" s="26" t="s">
        <v>167</v>
      </c>
      <c r="AJ60" s="26" t="s">
        <v>168</v>
      </c>
      <c r="AK60" s="26" t="s">
        <v>169</v>
      </c>
      <c r="AL60" s="26" t="s">
        <v>1463</v>
      </c>
      <c r="AM60" s="26" t="s">
        <v>1464</v>
      </c>
      <c r="AN60" s="26" t="s">
        <v>172</v>
      </c>
      <c r="AO60" s="26" t="s">
        <v>695</v>
      </c>
      <c r="AP60" s="26" t="s">
        <v>162</v>
      </c>
      <c r="AQ60" s="26" t="s">
        <v>777</v>
      </c>
      <c r="AR60" s="26" t="s">
        <v>1465</v>
      </c>
      <c r="AS60" s="26" t="s">
        <v>260</v>
      </c>
      <c r="AT60" s="26" t="s">
        <v>691</v>
      </c>
      <c r="AU60" s="26" t="s">
        <v>1466</v>
      </c>
      <c r="AV60" s="26" t="s">
        <v>1466</v>
      </c>
      <c r="AX60" s="26" t="s">
        <v>1467</v>
      </c>
      <c r="AY60" s="26" t="s">
        <v>179</v>
      </c>
      <c r="BC60" s="26" t="s">
        <v>1453</v>
      </c>
      <c r="BD60" s="26" t="s">
        <v>180</v>
      </c>
      <c r="BE60" s="26" t="s">
        <v>181</v>
      </c>
      <c r="BF60" s="26" t="s">
        <v>167</v>
      </c>
      <c r="BH60" s="26" t="s">
        <v>162</v>
      </c>
      <c r="BI60" s="26" t="s">
        <v>182</v>
      </c>
      <c r="BJ60" s="26" t="s">
        <v>1468</v>
      </c>
      <c r="BK60" s="26" t="s">
        <v>1469</v>
      </c>
      <c r="BL60" s="26" t="s">
        <v>185</v>
      </c>
      <c r="BM60" s="26" t="s">
        <v>186</v>
      </c>
      <c r="BN60" s="26" t="s">
        <v>162</v>
      </c>
      <c r="BP60" s="26">
        <v>0</v>
      </c>
      <c r="BR60" s="26" t="s">
        <v>695</v>
      </c>
      <c r="BS60" s="26" t="s">
        <v>230</v>
      </c>
      <c r="BT60" s="26" t="s">
        <v>185</v>
      </c>
      <c r="BV60" s="26">
        <v>21.0448</v>
      </c>
      <c r="BW60" s="26">
        <v>0.16</v>
      </c>
      <c r="BZ60" s="26">
        <v>0</v>
      </c>
      <c r="CA60" s="26" t="s">
        <v>189</v>
      </c>
      <c r="CC60" s="26" t="s">
        <v>162</v>
      </c>
      <c r="CD60" s="26">
        <v>0</v>
      </c>
      <c r="CE60" s="26" t="s">
        <v>190</v>
      </c>
      <c r="CF60" s="26" t="s">
        <v>435</v>
      </c>
      <c r="CG60" s="26" t="s">
        <v>1470</v>
      </c>
      <c r="CI60" s="26" t="s">
        <v>267</v>
      </c>
      <c r="CJ60" s="26">
        <v>131.53</v>
      </c>
      <c r="CK60" s="26">
        <v>0</v>
      </c>
      <c r="CL60" s="26">
        <v>6.58</v>
      </c>
      <c r="CM60" s="26">
        <v>45.78</v>
      </c>
      <c r="CQ60" s="26" t="s">
        <v>192</v>
      </c>
      <c r="CR60" s="26" t="s">
        <v>1471</v>
      </c>
      <c r="CS60" s="26" t="s">
        <v>1472</v>
      </c>
      <c r="CW60" s="26" t="s">
        <v>1473</v>
      </c>
      <c r="CX60" s="26" t="s">
        <v>167</v>
      </c>
      <c r="CY60" s="26" t="s">
        <v>196</v>
      </c>
      <c r="CZ60" s="26">
        <v>0</v>
      </c>
      <c r="DA60" s="26" t="s">
        <v>150</v>
      </c>
      <c r="DB60" s="26">
        <v>0</v>
      </c>
      <c r="DK60" s="26" t="s">
        <v>150</v>
      </c>
      <c r="DL60" s="26" t="s">
        <v>785</v>
      </c>
      <c r="DM60" s="26" t="s">
        <v>1474</v>
      </c>
      <c r="DN60" s="26" t="s">
        <v>1475</v>
      </c>
      <c r="DO60" s="26" t="s">
        <v>1449</v>
      </c>
      <c r="DP60" s="26" t="s">
        <v>1476</v>
      </c>
      <c r="DR60" s="26" t="s">
        <v>189</v>
      </c>
      <c r="DS60" s="26" t="s">
        <v>189</v>
      </c>
      <c r="DT60" s="26" t="s">
        <v>189</v>
      </c>
      <c r="DU60" s="26" t="s">
        <v>189</v>
      </c>
      <c r="DV60" s="26" t="s">
        <v>203</v>
      </c>
      <c r="DW60" s="26" t="s">
        <v>162</v>
      </c>
      <c r="DX60" s="26" t="s">
        <v>162</v>
      </c>
      <c r="DY60" s="26">
        <v>0</v>
      </c>
      <c r="DZ60" s="26" t="s">
        <v>150</v>
      </c>
      <c r="EA60" s="26" t="s">
        <v>534</v>
      </c>
      <c r="EB60" s="26" t="s">
        <v>547</v>
      </c>
      <c r="EH60" s="26" t="s">
        <v>189</v>
      </c>
      <c r="EI60" s="26">
        <v>0.16</v>
      </c>
      <c r="EJ60" s="26">
        <v>21.0448</v>
      </c>
      <c r="EK60" s="26">
        <v>45.78</v>
      </c>
      <c r="EL60" s="26" t="s">
        <v>1477</v>
      </c>
      <c r="EM60" s="26" t="s">
        <v>206</v>
      </c>
      <c r="EN60" s="26" t="s">
        <v>207</v>
      </c>
    </row>
    <row r="61" spans="1:144">
      <c r="A61" s="26" t="s">
        <v>145</v>
      </c>
      <c r="B61" s="26" t="s">
        <v>1452</v>
      </c>
      <c r="C61" s="26" t="s">
        <v>1453</v>
      </c>
      <c r="D61" s="26" t="s">
        <v>148</v>
      </c>
      <c r="E61" s="26" t="s">
        <v>149</v>
      </c>
      <c r="F61" s="26" t="s">
        <v>150</v>
      </c>
      <c r="G61" s="26" t="s">
        <v>151</v>
      </c>
      <c r="H61" s="26" t="s">
        <v>152</v>
      </c>
      <c r="I61" s="26" t="s">
        <v>153</v>
      </c>
      <c r="J61" s="26" t="s">
        <v>154</v>
      </c>
      <c r="K61" s="26" t="s">
        <v>244</v>
      </c>
      <c r="L61" s="26" t="s">
        <v>245</v>
      </c>
      <c r="M61" s="26" t="s">
        <v>1454</v>
      </c>
      <c r="O61" s="26" t="s">
        <v>1478</v>
      </c>
      <c r="P61" s="26" t="s">
        <v>1479</v>
      </c>
      <c r="S61" s="26" t="s">
        <v>873</v>
      </c>
      <c r="T61" s="26">
        <v>153.984</v>
      </c>
      <c r="U61" s="26" t="s">
        <v>217</v>
      </c>
      <c r="V61" s="26" t="s">
        <v>150</v>
      </c>
      <c r="Y61" s="26" t="s">
        <v>1460</v>
      </c>
      <c r="Z61" s="26">
        <v>20.55526</v>
      </c>
      <c r="AA61" s="26">
        <v>0</v>
      </c>
      <c r="AB61" s="26">
        <v>0</v>
      </c>
      <c r="AC61" s="26">
        <v>28</v>
      </c>
      <c r="AD61" s="26" t="s">
        <v>1480</v>
      </c>
      <c r="AE61" s="26" t="s">
        <v>1480</v>
      </c>
      <c r="AF61" s="26" t="s">
        <v>1480</v>
      </c>
      <c r="AG61" s="26" t="s">
        <v>1481</v>
      </c>
      <c r="AI61" s="26" t="s">
        <v>167</v>
      </c>
      <c r="AJ61" s="26" t="s">
        <v>168</v>
      </c>
      <c r="AK61" s="26" t="s">
        <v>169</v>
      </c>
      <c r="AM61" s="26" t="s">
        <v>512</v>
      </c>
      <c r="AN61" s="26" t="s">
        <v>172</v>
      </c>
      <c r="AO61" s="26" t="s">
        <v>695</v>
      </c>
      <c r="AP61" s="26" t="s">
        <v>162</v>
      </c>
      <c r="AQ61" s="26" t="s">
        <v>777</v>
      </c>
      <c r="AR61" s="26" t="s">
        <v>1465</v>
      </c>
      <c r="AS61" s="26" t="s">
        <v>349</v>
      </c>
      <c r="AT61" s="26" t="s">
        <v>691</v>
      </c>
      <c r="AU61" s="26" t="s">
        <v>1466</v>
      </c>
      <c r="AV61" s="26" t="s">
        <v>1466</v>
      </c>
      <c r="AX61" s="26" t="s">
        <v>1482</v>
      </c>
      <c r="AY61" s="26" t="s">
        <v>179</v>
      </c>
      <c r="BC61" s="26" t="s">
        <v>1453</v>
      </c>
      <c r="BD61" s="26" t="s">
        <v>180</v>
      </c>
      <c r="BE61" s="26" t="s">
        <v>181</v>
      </c>
      <c r="BF61" s="26" t="s">
        <v>167</v>
      </c>
      <c r="BH61" s="26" t="s">
        <v>162</v>
      </c>
      <c r="BI61" s="26" t="s">
        <v>182</v>
      </c>
      <c r="BJ61" s="26" t="s">
        <v>1483</v>
      </c>
      <c r="BK61" s="26" t="s">
        <v>1469</v>
      </c>
      <c r="BL61" s="26" t="s">
        <v>185</v>
      </c>
      <c r="BM61" s="26" t="s">
        <v>186</v>
      </c>
      <c r="BN61" s="26" t="s">
        <v>162</v>
      </c>
      <c r="BP61" s="26">
        <v>0</v>
      </c>
      <c r="BR61" s="26" t="s">
        <v>695</v>
      </c>
      <c r="BS61" s="26" t="s">
        <v>230</v>
      </c>
      <c r="BT61" s="26" t="s">
        <v>185</v>
      </c>
      <c r="BV61" s="26">
        <v>25.6</v>
      </c>
      <c r="BW61" s="26">
        <v>0.16</v>
      </c>
      <c r="BZ61" s="26">
        <v>0</v>
      </c>
      <c r="CA61" s="26" t="s">
        <v>189</v>
      </c>
      <c r="CC61" s="26" t="s">
        <v>162</v>
      </c>
      <c r="CD61" s="26">
        <v>0</v>
      </c>
      <c r="CE61" s="26" t="s">
        <v>190</v>
      </c>
      <c r="CF61" s="26" t="s">
        <v>195</v>
      </c>
      <c r="CG61" s="26" t="s">
        <v>1484</v>
      </c>
      <c r="CI61" s="26" t="s">
        <v>267</v>
      </c>
      <c r="CJ61" s="26">
        <v>160</v>
      </c>
      <c r="CK61" s="26">
        <v>0</v>
      </c>
      <c r="CL61" s="26">
        <v>8</v>
      </c>
      <c r="CM61" s="26">
        <v>22.03</v>
      </c>
      <c r="CQ61" s="26" t="s">
        <v>192</v>
      </c>
      <c r="CR61" s="26" t="s">
        <v>1471</v>
      </c>
      <c r="CS61" s="26" t="s">
        <v>1472</v>
      </c>
      <c r="CW61" s="26" t="s">
        <v>1485</v>
      </c>
      <c r="CX61" s="26" t="s">
        <v>162</v>
      </c>
      <c r="CY61" s="26" t="s">
        <v>196</v>
      </c>
      <c r="CZ61" s="26">
        <v>0</v>
      </c>
      <c r="DA61" s="26" t="s">
        <v>150</v>
      </c>
      <c r="DB61" s="26">
        <v>0</v>
      </c>
      <c r="DK61" s="26" t="s">
        <v>150</v>
      </c>
      <c r="DL61" s="26" t="s">
        <v>785</v>
      </c>
      <c r="DM61" s="26" t="s">
        <v>1474</v>
      </c>
      <c r="DN61" s="26" t="s">
        <v>1475</v>
      </c>
      <c r="DO61" s="26" t="s">
        <v>1449</v>
      </c>
      <c r="DP61" s="26" t="s">
        <v>1476</v>
      </c>
      <c r="DR61" s="26" t="s">
        <v>189</v>
      </c>
      <c r="DS61" s="26" t="s">
        <v>189</v>
      </c>
      <c r="DT61" s="26" t="s">
        <v>189</v>
      </c>
      <c r="DU61" s="26" t="s">
        <v>189</v>
      </c>
      <c r="DV61" s="26" t="s">
        <v>203</v>
      </c>
      <c r="DW61" s="26" t="s">
        <v>162</v>
      </c>
      <c r="DX61" s="26" t="s">
        <v>162</v>
      </c>
      <c r="DY61" s="26">
        <v>0</v>
      </c>
      <c r="DZ61" s="26" t="s">
        <v>150</v>
      </c>
      <c r="EA61" s="26" t="s">
        <v>534</v>
      </c>
      <c r="EB61" s="26" t="s">
        <v>547</v>
      </c>
      <c r="EH61" s="26" t="s">
        <v>189</v>
      </c>
      <c r="EI61" s="26">
        <v>0.16</v>
      </c>
      <c r="EJ61" s="26">
        <v>25.6</v>
      </c>
      <c r="EK61" s="26">
        <v>22.03</v>
      </c>
      <c r="EL61" s="26" t="s">
        <v>1486</v>
      </c>
      <c r="EM61" s="26" t="s">
        <v>206</v>
      </c>
      <c r="EN61" s="26" t="s">
        <v>207</v>
      </c>
    </row>
    <row r="62" spans="1:144">
      <c r="A62" s="26" t="s">
        <v>145</v>
      </c>
      <c r="B62" s="26" t="s">
        <v>1452</v>
      </c>
      <c r="C62" s="26" t="s">
        <v>1453</v>
      </c>
      <c r="D62" s="26" t="s">
        <v>148</v>
      </c>
      <c r="E62" s="26" t="s">
        <v>149</v>
      </c>
      <c r="F62" s="26" t="s">
        <v>150</v>
      </c>
      <c r="G62" s="26" t="s">
        <v>151</v>
      </c>
      <c r="H62" s="26" t="s">
        <v>152</v>
      </c>
      <c r="I62" s="26" t="s">
        <v>153</v>
      </c>
      <c r="J62" s="26" t="s">
        <v>154</v>
      </c>
      <c r="K62" s="26" t="s">
        <v>244</v>
      </c>
      <c r="L62" s="26" t="s">
        <v>765</v>
      </c>
      <c r="M62" s="26" t="s">
        <v>1454</v>
      </c>
      <c r="O62" s="26" t="s">
        <v>1487</v>
      </c>
      <c r="P62" s="26" t="s">
        <v>1488</v>
      </c>
      <c r="S62" s="26" t="s">
        <v>1489</v>
      </c>
      <c r="T62" s="26">
        <v>118.295</v>
      </c>
      <c r="U62" s="26" t="s">
        <v>217</v>
      </c>
      <c r="V62" s="26" t="s">
        <v>150</v>
      </c>
      <c r="Y62" s="26" t="s">
        <v>1460</v>
      </c>
      <c r="Z62" s="26">
        <v>20.55526</v>
      </c>
      <c r="AA62" s="26">
        <v>0</v>
      </c>
      <c r="AB62" s="26">
        <v>0</v>
      </c>
      <c r="AC62" s="26">
        <v>19</v>
      </c>
      <c r="AD62" s="26" t="s">
        <v>1490</v>
      </c>
      <c r="AE62" s="26" t="s">
        <v>1491</v>
      </c>
      <c r="AF62" s="26" t="s">
        <v>1491</v>
      </c>
      <c r="AG62" s="26" t="s">
        <v>1492</v>
      </c>
      <c r="AI62" s="26" t="s">
        <v>167</v>
      </c>
      <c r="AJ62" s="26" t="s">
        <v>168</v>
      </c>
      <c r="AK62" s="26" t="s">
        <v>169</v>
      </c>
      <c r="AM62" s="26" t="s">
        <v>1493</v>
      </c>
      <c r="AN62" s="26" t="s">
        <v>172</v>
      </c>
      <c r="AO62" s="26" t="s">
        <v>695</v>
      </c>
      <c r="AP62" s="26" t="s">
        <v>162</v>
      </c>
      <c r="AQ62" s="26" t="s">
        <v>777</v>
      </c>
      <c r="AR62" s="26" t="s">
        <v>1465</v>
      </c>
      <c r="AS62" s="26" t="s">
        <v>260</v>
      </c>
      <c r="AT62" s="26" t="s">
        <v>691</v>
      </c>
      <c r="AU62" s="26" t="s">
        <v>1466</v>
      </c>
      <c r="AV62" s="26" t="s">
        <v>1466</v>
      </c>
      <c r="AX62" s="26" t="s">
        <v>1467</v>
      </c>
      <c r="AY62" s="26" t="s">
        <v>179</v>
      </c>
      <c r="BC62" s="26" t="s">
        <v>1453</v>
      </c>
      <c r="BD62" s="26" t="s">
        <v>180</v>
      </c>
      <c r="BE62" s="26" t="s">
        <v>181</v>
      </c>
      <c r="BF62" s="26" t="s">
        <v>167</v>
      </c>
      <c r="BH62" s="26" t="s">
        <v>162</v>
      </c>
      <c r="BI62" s="26" t="s">
        <v>182</v>
      </c>
      <c r="BJ62" s="26" t="s">
        <v>1468</v>
      </c>
      <c r="BK62" s="26" t="s">
        <v>1469</v>
      </c>
      <c r="BL62" s="26" t="s">
        <v>185</v>
      </c>
      <c r="BM62" s="26" t="s">
        <v>186</v>
      </c>
      <c r="BN62" s="26" t="s">
        <v>162</v>
      </c>
      <c r="BP62" s="26">
        <v>0</v>
      </c>
      <c r="BR62" s="26" t="s">
        <v>695</v>
      </c>
      <c r="BS62" s="26" t="s">
        <v>230</v>
      </c>
      <c r="BT62" s="26" t="s">
        <v>185</v>
      </c>
      <c r="BV62" s="26">
        <v>19.8896</v>
      </c>
      <c r="BW62" s="26">
        <v>0.16</v>
      </c>
      <c r="BZ62" s="26">
        <v>0</v>
      </c>
      <c r="CA62" s="26" t="s">
        <v>189</v>
      </c>
      <c r="CC62" s="26" t="s">
        <v>162</v>
      </c>
      <c r="CD62" s="26">
        <v>0</v>
      </c>
      <c r="CE62" s="26" t="s">
        <v>190</v>
      </c>
      <c r="CF62" s="26" t="s">
        <v>305</v>
      </c>
      <c r="CG62" s="26" t="s">
        <v>1494</v>
      </c>
      <c r="CI62" s="26" t="s">
        <v>267</v>
      </c>
      <c r="CJ62" s="26">
        <v>124.31</v>
      </c>
      <c r="CK62" s="26">
        <v>0</v>
      </c>
      <c r="CL62" s="26">
        <v>6.22</v>
      </c>
      <c r="CM62" s="26">
        <v>28.86</v>
      </c>
      <c r="CQ62" s="26" t="s">
        <v>192</v>
      </c>
      <c r="CR62" s="26" t="s">
        <v>1471</v>
      </c>
      <c r="CS62" s="26" t="s">
        <v>1472</v>
      </c>
      <c r="CW62" s="26" t="s">
        <v>1495</v>
      </c>
      <c r="CX62" s="26" t="s">
        <v>167</v>
      </c>
      <c r="CY62" s="26" t="s">
        <v>196</v>
      </c>
      <c r="CZ62" s="26">
        <v>0</v>
      </c>
      <c r="DA62" s="26" t="s">
        <v>150</v>
      </c>
      <c r="DB62" s="26">
        <v>0</v>
      </c>
      <c r="DK62" s="26" t="s">
        <v>150</v>
      </c>
      <c r="DL62" s="26" t="s">
        <v>785</v>
      </c>
      <c r="DM62" s="26" t="s">
        <v>1474</v>
      </c>
      <c r="DN62" s="26" t="s">
        <v>1475</v>
      </c>
      <c r="DO62" s="26" t="s">
        <v>1449</v>
      </c>
      <c r="DP62" s="26" t="s">
        <v>1476</v>
      </c>
      <c r="DR62" s="26" t="s">
        <v>189</v>
      </c>
      <c r="DS62" s="26" t="s">
        <v>189</v>
      </c>
      <c r="DT62" s="26" t="s">
        <v>189</v>
      </c>
      <c r="DU62" s="26" t="s">
        <v>189</v>
      </c>
      <c r="DV62" s="26" t="s">
        <v>203</v>
      </c>
      <c r="DW62" s="26" t="s">
        <v>162</v>
      </c>
      <c r="DX62" s="26" t="s">
        <v>162</v>
      </c>
      <c r="DY62" s="26">
        <v>0</v>
      </c>
      <c r="DZ62" s="26" t="s">
        <v>150</v>
      </c>
      <c r="EA62" s="26" t="s">
        <v>534</v>
      </c>
      <c r="EB62" s="26" t="s">
        <v>547</v>
      </c>
      <c r="EH62" s="26" t="s">
        <v>189</v>
      </c>
      <c r="EI62" s="26">
        <v>0.16</v>
      </c>
      <c r="EJ62" s="26">
        <v>19.8896</v>
      </c>
      <c r="EK62" s="26">
        <v>28.86</v>
      </c>
      <c r="EL62" s="26" t="s">
        <v>1496</v>
      </c>
      <c r="EM62" s="26" t="s">
        <v>206</v>
      </c>
      <c r="EN62" s="26" t="s">
        <v>207</v>
      </c>
    </row>
    <row r="63" spans="1:144">
      <c r="A63" s="26" t="s">
        <v>145</v>
      </c>
      <c r="B63" s="26" t="s">
        <v>1452</v>
      </c>
      <c r="C63" s="26" t="s">
        <v>1453</v>
      </c>
      <c r="D63" s="26" t="s">
        <v>148</v>
      </c>
      <c r="E63" s="26" t="s">
        <v>149</v>
      </c>
      <c r="F63" s="26" t="s">
        <v>150</v>
      </c>
      <c r="G63" s="26" t="s">
        <v>151</v>
      </c>
      <c r="H63" s="26" t="s">
        <v>152</v>
      </c>
      <c r="I63" s="26" t="s">
        <v>153</v>
      </c>
      <c r="J63" s="26" t="s">
        <v>154</v>
      </c>
      <c r="K63" s="26" t="s">
        <v>244</v>
      </c>
      <c r="L63" s="26" t="s">
        <v>245</v>
      </c>
      <c r="M63" s="26" t="s">
        <v>1454</v>
      </c>
      <c r="O63" s="26" t="s">
        <v>1497</v>
      </c>
      <c r="P63" s="26" t="s">
        <v>1498</v>
      </c>
      <c r="S63" s="26" t="s">
        <v>1499</v>
      </c>
      <c r="T63" s="26">
        <v>126.315</v>
      </c>
      <c r="U63" s="26" t="s">
        <v>217</v>
      </c>
      <c r="V63" s="26" t="s">
        <v>150</v>
      </c>
      <c r="Y63" s="26" t="s">
        <v>1460</v>
      </c>
      <c r="Z63" s="26">
        <v>20.55526</v>
      </c>
      <c r="AA63" s="26">
        <v>0</v>
      </c>
      <c r="AB63" s="26">
        <v>0</v>
      </c>
      <c r="AC63" s="26">
        <v>24</v>
      </c>
      <c r="AD63" s="26" t="s">
        <v>1057</v>
      </c>
      <c r="AE63" s="26" t="s">
        <v>1057</v>
      </c>
      <c r="AF63" s="26" t="s">
        <v>1057</v>
      </c>
      <c r="AG63" s="26" t="s">
        <v>1500</v>
      </c>
      <c r="AI63" s="26" t="s">
        <v>167</v>
      </c>
      <c r="AJ63" s="26" t="s">
        <v>168</v>
      </c>
      <c r="AK63" s="26" t="s">
        <v>169</v>
      </c>
      <c r="AM63" s="26" t="s">
        <v>1261</v>
      </c>
      <c r="AN63" s="26" t="s">
        <v>172</v>
      </c>
      <c r="AO63" s="26" t="s">
        <v>1501</v>
      </c>
      <c r="AP63" s="26" t="s">
        <v>167</v>
      </c>
      <c r="AQ63" s="26" t="s">
        <v>777</v>
      </c>
      <c r="AR63" s="26" t="s">
        <v>1465</v>
      </c>
      <c r="AS63" s="26" t="s">
        <v>349</v>
      </c>
      <c r="AT63" s="26" t="s">
        <v>176</v>
      </c>
      <c r="AU63" s="26" t="s">
        <v>1466</v>
      </c>
      <c r="AV63" s="26" t="s">
        <v>1466</v>
      </c>
      <c r="AX63" s="26" t="s">
        <v>1502</v>
      </c>
      <c r="AY63" s="26" t="s">
        <v>179</v>
      </c>
      <c r="BC63" s="26" t="s">
        <v>1453</v>
      </c>
      <c r="BD63" s="26" t="s">
        <v>180</v>
      </c>
      <c r="BE63" s="26" t="s">
        <v>181</v>
      </c>
      <c r="BF63" s="26" t="s">
        <v>167</v>
      </c>
      <c r="BH63" s="26" t="s">
        <v>162</v>
      </c>
      <c r="BI63" s="26" t="s">
        <v>182</v>
      </c>
      <c r="BJ63" s="26" t="s">
        <v>1503</v>
      </c>
      <c r="BK63" s="26" t="s">
        <v>1469</v>
      </c>
      <c r="BL63" s="26" t="s">
        <v>185</v>
      </c>
      <c r="BM63" s="26" t="s">
        <v>186</v>
      </c>
      <c r="BN63" s="26" t="s">
        <v>162</v>
      </c>
      <c r="BP63" s="26">
        <v>0</v>
      </c>
      <c r="BQ63" s="26" t="s">
        <v>1504</v>
      </c>
      <c r="BS63" s="26" t="s">
        <v>188</v>
      </c>
      <c r="BT63" s="26" t="s">
        <v>185</v>
      </c>
      <c r="BV63" s="26">
        <v>21.1728</v>
      </c>
      <c r="BW63" s="26">
        <v>0.16</v>
      </c>
      <c r="BZ63" s="26">
        <v>0</v>
      </c>
      <c r="CA63" s="26" t="s">
        <v>189</v>
      </c>
      <c r="CC63" s="26" t="s">
        <v>162</v>
      </c>
      <c r="CD63" s="26">
        <v>0</v>
      </c>
      <c r="CE63" s="26" t="s">
        <v>190</v>
      </c>
      <c r="CF63" s="26" t="s">
        <v>167</v>
      </c>
      <c r="CG63" s="26" t="s">
        <v>1505</v>
      </c>
      <c r="CI63" s="26" t="s">
        <v>267</v>
      </c>
      <c r="CJ63" s="26">
        <v>132.33</v>
      </c>
      <c r="CK63" s="26">
        <v>0</v>
      </c>
      <c r="CL63" s="26">
        <v>6.62</v>
      </c>
      <c r="CM63" s="26">
        <v>26.47</v>
      </c>
      <c r="CQ63" s="26" t="s">
        <v>192</v>
      </c>
      <c r="CR63" s="26" t="s">
        <v>1471</v>
      </c>
      <c r="CS63" s="26" t="s">
        <v>1472</v>
      </c>
      <c r="CW63" s="26" t="s">
        <v>1506</v>
      </c>
      <c r="CX63" s="26" t="s">
        <v>162</v>
      </c>
      <c r="CY63" s="26" t="s">
        <v>196</v>
      </c>
      <c r="CZ63" s="26">
        <v>0</v>
      </c>
      <c r="DA63" s="26" t="s">
        <v>150</v>
      </c>
      <c r="DB63" s="26">
        <v>0</v>
      </c>
      <c r="DK63" s="26" t="s">
        <v>150</v>
      </c>
      <c r="DL63" s="26" t="s">
        <v>785</v>
      </c>
      <c r="DM63" s="26" t="s">
        <v>1474</v>
      </c>
      <c r="DN63" s="26" t="s">
        <v>1475</v>
      </c>
      <c r="DO63" s="26" t="s">
        <v>1449</v>
      </c>
      <c r="DP63" s="26" t="s">
        <v>1476</v>
      </c>
      <c r="DR63" s="26" t="s">
        <v>189</v>
      </c>
      <c r="DS63" s="26" t="s">
        <v>189</v>
      </c>
      <c r="DT63" s="26" t="s">
        <v>189</v>
      </c>
      <c r="DU63" s="26" t="s">
        <v>189</v>
      </c>
      <c r="DV63" s="26" t="s">
        <v>203</v>
      </c>
      <c r="DW63" s="26" t="s">
        <v>162</v>
      </c>
      <c r="DX63" s="26" t="s">
        <v>162</v>
      </c>
      <c r="DY63" s="26">
        <v>0</v>
      </c>
      <c r="DZ63" s="26" t="s">
        <v>150</v>
      </c>
      <c r="EA63" s="26" t="s">
        <v>204</v>
      </c>
      <c r="EB63" s="26" t="s">
        <v>205</v>
      </c>
      <c r="EH63" s="26" t="s">
        <v>189</v>
      </c>
      <c r="EI63" s="26">
        <v>0.16</v>
      </c>
      <c r="EJ63" s="26">
        <v>21.1728</v>
      </c>
      <c r="EK63" s="26">
        <v>26.47</v>
      </c>
      <c r="EL63" s="26" t="s">
        <v>1507</v>
      </c>
      <c r="EM63" s="26" t="s">
        <v>206</v>
      </c>
      <c r="EN63" s="26" t="s">
        <v>207</v>
      </c>
    </row>
    <row r="64" spans="1:144">
      <c r="A64" s="26" t="s">
        <v>145</v>
      </c>
      <c r="B64" s="26" t="s">
        <v>395</v>
      </c>
      <c r="C64" s="26" t="s">
        <v>1508</v>
      </c>
      <c r="D64" s="26" t="s">
        <v>148</v>
      </c>
      <c r="E64" s="26" t="s">
        <v>149</v>
      </c>
      <c r="G64" s="26" t="s">
        <v>151</v>
      </c>
      <c r="H64" s="26" t="s">
        <v>152</v>
      </c>
      <c r="I64" s="26" t="s">
        <v>153</v>
      </c>
      <c r="J64" s="26" t="s">
        <v>154</v>
      </c>
      <c r="K64" s="26" t="s">
        <v>244</v>
      </c>
      <c r="L64" s="26" t="s">
        <v>245</v>
      </c>
      <c r="M64" s="26" t="s">
        <v>1509</v>
      </c>
      <c r="N64" s="26" t="s">
        <v>1510</v>
      </c>
      <c r="O64" s="26" t="s">
        <v>1511</v>
      </c>
      <c r="P64" s="26" t="s">
        <v>1512</v>
      </c>
      <c r="Q64" s="26" t="s">
        <v>1377</v>
      </c>
      <c r="R64" s="26">
        <v>133.334</v>
      </c>
      <c r="S64" s="26" t="s">
        <v>1513</v>
      </c>
      <c r="T64" s="26">
        <v>127.199</v>
      </c>
      <c r="U64" s="26" t="s">
        <v>217</v>
      </c>
      <c r="V64" s="26" t="s">
        <v>150</v>
      </c>
      <c r="Y64" s="26" t="s">
        <v>1514</v>
      </c>
      <c r="Z64" s="26">
        <v>20.0001</v>
      </c>
      <c r="AA64" s="26">
        <v>0</v>
      </c>
      <c r="AB64" s="26">
        <v>0</v>
      </c>
      <c r="AC64" s="26">
        <v>22</v>
      </c>
      <c r="AD64" s="26" t="s">
        <v>594</v>
      </c>
      <c r="AE64" s="26" t="s">
        <v>594</v>
      </c>
      <c r="AF64" s="26" t="s">
        <v>594</v>
      </c>
      <c r="AG64" s="26" t="s">
        <v>1515</v>
      </c>
      <c r="AI64" s="26" t="s">
        <v>167</v>
      </c>
      <c r="AJ64" s="26" t="s">
        <v>168</v>
      </c>
      <c r="AK64" s="26" t="s">
        <v>169</v>
      </c>
      <c r="AL64" s="26" t="s">
        <v>1516</v>
      </c>
      <c r="AM64" s="26" t="s">
        <v>1237</v>
      </c>
      <c r="AN64" s="26" t="s">
        <v>172</v>
      </c>
      <c r="AO64" s="26" t="s">
        <v>1517</v>
      </c>
      <c r="AP64" s="26" t="s">
        <v>162</v>
      </c>
      <c r="AQ64" s="26" t="s">
        <v>1518</v>
      </c>
      <c r="AR64" s="26" t="s">
        <v>1519</v>
      </c>
      <c r="AS64" s="26" t="s">
        <v>804</v>
      </c>
      <c r="AU64" s="26" t="s">
        <v>1520</v>
      </c>
      <c r="AV64" s="26" t="s">
        <v>1520</v>
      </c>
      <c r="AX64" s="26" t="s">
        <v>1521</v>
      </c>
      <c r="AY64" s="26" t="s">
        <v>179</v>
      </c>
      <c r="BC64" s="26" t="s">
        <v>1508</v>
      </c>
      <c r="BD64" s="26" t="s">
        <v>180</v>
      </c>
      <c r="BE64" s="26" t="s">
        <v>181</v>
      </c>
      <c r="BF64" s="26" t="s">
        <v>167</v>
      </c>
      <c r="BH64" s="26" t="s">
        <v>162</v>
      </c>
      <c r="BI64" s="26" t="s">
        <v>182</v>
      </c>
      <c r="BJ64" s="26" t="s">
        <v>1522</v>
      </c>
      <c r="BK64" s="26" t="s">
        <v>184</v>
      </c>
      <c r="BL64" s="26" t="s">
        <v>185</v>
      </c>
      <c r="BM64" s="26" t="s">
        <v>186</v>
      </c>
      <c r="BN64" s="26" t="s">
        <v>162</v>
      </c>
      <c r="BP64" s="26">
        <v>0</v>
      </c>
      <c r="BR64" s="26" t="s">
        <v>801</v>
      </c>
      <c r="BS64" s="26" t="s">
        <v>354</v>
      </c>
      <c r="BT64" s="26" t="s">
        <v>185</v>
      </c>
      <c r="BV64" s="26">
        <v>21.3328</v>
      </c>
      <c r="BW64" s="26">
        <v>0.16</v>
      </c>
      <c r="BZ64" s="26">
        <v>0</v>
      </c>
      <c r="CA64" s="26" t="s">
        <v>189</v>
      </c>
      <c r="CC64" s="26" t="s">
        <v>162</v>
      </c>
      <c r="CD64" s="26">
        <v>0</v>
      </c>
      <c r="CE64" s="26" t="s">
        <v>190</v>
      </c>
      <c r="CF64" s="26" t="s">
        <v>167</v>
      </c>
      <c r="CG64" s="26" t="s">
        <v>1523</v>
      </c>
      <c r="CI64" s="26" t="s">
        <v>267</v>
      </c>
      <c r="CJ64" s="26">
        <v>133.33</v>
      </c>
      <c r="CK64" s="26">
        <v>0</v>
      </c>
      <c r="CL64" s="26">
        <v>6.67</v>
      </c>
      <c r="CM64" s="26">
        <v>9.68</v>
      </c>
      <c r="CQ64" s="26" t="s">
        <v>233</v>
      </c>
      <c r="CR64" s="26" t="s">
        <v>1524</v>
      </c>
      <c r="CS64" s="26" t="s">
        <v>1525</v>
      </c>
      <c r="CW64" s="26" t="s">
        <v>1526</v>
      </c>
      <c r="CX64" s="26" t="s">
        <v>167</v>
      </c>
      <c r="CY64" s="26" t="s">
        <v>196</v>
      </c>
      <c r="CZ64" s="26">
        <v>0</v>
      </c>
      <c r="DB64" s="26">
        <v>0</v>
      </c>
      <c r="DK64" s="26" t="s">
        <v>150</v>
      </c>
      <c r="DL64" s="26" t="s">
        <v>1527</v>
      </c>
      <c r="DM64" s="26" t="s">
        <v>1528</v>
      </c>
      <c r="DN64" s="26" t="s">
        <v>1529</v>
      </c>
      <c r="DO64" s="26" t="s">
        <v>1449</v>
      </c>
      <c r="DP64" s="26" t="s">
        <v>1530</v>
      </c>
      <c r="DR64" s="26" t="s">
        <v>189</v>
      </c>
      <c r="DS64" s="26" t="s">
        <v>189</v>
      </c>
      <c r="DT64" s="26" t="s">
        <v>189</v>
      </c>
      <c r="DU64" s="26" t="s">
        <v>189</v>
      </c>
      <c r="DV64" s="26" t="s">
        <v>203</v>
      </c>
      <c r="DW64" s="26" t="s">
        <v>162</v>
      </c>
      <c r="DX64" s="26" t="s">
        <v>162</v>
      </c>
      <c r="DY64" s="26">
        <v>0</v>
      </c>
      <c r="DZ64" s="26" t="s">
        <v>150</v>
      </c>
      <c r="EH64" s="26" t="s">
        <v>189</v>
      </c>
      <c r="EI64" s="26">
        <v>0.16</v>
      </c>
      <c r="EJ64" s="26">
        <v>21.3328</v>
      </c>
      <c r="EK64" s="26">
        <v>9.68</v>
      </c>
      <c r="EL64" s="26" t="s">
        <v>1531</v>
      </c>
      <c r="EM64" s="26" t="s">
        <v>206</v>
      </c>
      <c r="EN64" s="26" t="s">
        <v>207</v>
      </c>
    </row>
    <row r="65" spans="1:144">
      <c r="A65" s="26" t="s">
        <v>145</v>
      </c>
      <c r="B65" s="26" t="s">
        <v>1452</v>
      </c>
      <c r="C65" s="26" t="s">
        <v>1532</v>
      </c>
      <c r="D65" s="26" t="s">
        <v>148</v>
      </c>
      <c r="E65" s="26" t="s">
        <v>149</v>
      </c>
      <c r="G65" s="26" t="s">
        <v>151</v>
      </c>
      <c r="H65" s="26" t="s">
        <v>152</v>
      </c>
      <c r="I65" s="26" t="s">
        <v>153</v>
      </c>
      <c r="J65" s="26" t="s">
        <v>154</v>
      </c>
      <c r="K65" s="26" t="s">
        <v>244</v>
      </c>
      <c r="L65" s="26" t="s">
        <v>283</v>
      </c>
      <c r="M65" s="26" t="s">
        <v>1533</v>
      </c>
      <c r="N65" s="26" t="s">
        <v>1534</v>
      </c>
      <c r="O65" s="26" t="s">
        <v>1535</v>
      </c>
      <c r="P65" s="26" t="s">
        <v>1536</v>
      </c>
      <c r="Q65" s="26" t="s">
        <v>1537</v>
      </c>
      <c r="R65" s="26">
        <v>185.262</v>
      </c>
      <c r="S65" s="26" t="s">
        <v>1538</v>
      </c>
      <c r="T65" s="26">
        <v>179.247</v>
      </c>
      <c r="U65" s="26" t="s">
        <v>217</v>
      </c>
      <c r="V65" s="26" t="s">
        <v>150</v>
      </c>
      <c r="Y65" s="26" t="s">
        <v>1539</v>
      </c>
      <c r="Z65" s="26">
        <v>27.7893</v>
      </c>
      <c r="AA65" s="26">
        <v>0</v>
      </c>
      <c r="AB65" s="26">
        <v>0</v>
      </c>
      <c r="AC65" s="26">
        <v>45</v>
      </c>
      <c r="AD65" s="26" t="s">
        <v>291</v>
      </c>
      <c r="AE65" s="26" t="s">
        <v>291</v>
      </c>
      <c r="AF65" s="26" t="s">
        <v>291</v>
      </c>
      <c r="AG65" s="26" t="s">
        <v>1540</v>
      </c>
      <c r="AI65" s="26" t="s">
        <v>167</v>
      </c>
      <c r="AJ65" s="26" t="s">
        <v>168</v>
      </c>
      <c r="AK65" s="26" t="s">
        <v>169</v>
      </c>
      <c r="AL65" s="26" t="s">
        <v>1541</v>
      </c>
      <c r="AM65" s="26" t="s">
        <v>793</v>
      </c>
      <c r="AN65" s="26" t="s">
        <v>172</v>
      </c>
      <c r="AO65" s="26" t="s">
        <v>1517</v>
      </c>
      <c r="AP65" s="26" t="s">
        <v>162</v>
      </c>
      <c r="AQ65" s="26" t="s">
        <v>1542</v>
      </c>
      <c r="AR65" s="26" t="s">
        <v>1543</v>
      </c>
      <c r="AS65" s="26" t="s">
        <v>226</v>
      </c>
      <c r="AU65" s="26" t="s">
        <v>1544</v>
      </c>
      <c r="AV65" s="26" t="s">
        <v>1544</v>
      </c>
      <c r="AX65" s="26" t="s">
        <v>1545</v>
      </c>
      <c r="AY65" s="26" t="s">
        <v>179</v>
      </c>
      <c r="BC65" s="26" t="s">
        <v>1532</v>
      </c>
      <c r="BD65" s="26" t="s">
        <v>180</v>
      </c>
      <c r="BE65" s="26" t="s">
        <v>181</v>
      </c>
      <c r="BF65" s="26" t="s">
        <v>167</v>
      </c>
      <c r="BH65" s="26" t="s">
        <v>162</v>
      </c>
      <c r="BI65" s="26" t="s">
        <v>182</v>
      </c>
      <c r="BJ65" s="26" t="s">
        <v>1546</v>
      </c>
      <c r="BK65" s="26" t="s">
        <v>184</v>
      </c>
      <c r="BL65" s="26" t="s">
        <v>185</v>
      </c>
      <c r="BM65" s="26" t="s">
        <v>186</v>
      </c>
      <c r="BN65" s="26" t="s">
        <v>162</v>
      </c>
      <c r="BP65" s="26">
        <v>0</v>
      </c>
      <c r="BR65" s="26" t="s">
        <v>801</v>
      </c>
      <c r="BS65" s="26" t="s">
        <v>354</v>
      </c>
      <c r="BT65" s="26" t="s">
        <v>185</v>
      </c>
      <c r="BV65" s="26">
        <v>29.6416</v>
      </c>
      <c r="BW65" s="26">
        <v>0.16</v>
      </c>
      <c r="BZ65" s="26">
        <v>0</v>
      </c>
      <c r="CA65" s="26" t="s">
        <v>189</v>
      </c>
      <c r="CC65" s="26" t="s">
        <v>162</v>
      </c>
      <c r="CD65" s="26">
        <v>0</v>
      </c>
      <c r="CE65" s="26" t="s">
        <v>190</v>
      </c>
      <c r="CF65" s="26" t="s">
        <v>167</v>
      </c>
      <c r="CG65" s="26" t="s">
        <v>1547</v>
      </c>
      <c r="CI65" s="26" t="s">
        <v>267</v>
      </c>
      <c r="CJ65" s="26">
        <v>185.26</v>
      </c>
      <c r="CK65" s="26">
        <v>0</v>
      </c>
      <c r="CL65" s="26">
        <v>9.26</v>
      </c>
      <c r="CM65" s="26">
        <v>12.78</v>
      </c>
      <c r="CQ65" s="26" t="s">
        <v>233</v>
      </c>
      <c r="CR65" s="26" t="s">
        <v>1548</v>
      </c>
      <c r="CS65" s="26" t="s">
        <v>1549</v>
      </c>
      <c r="CW65" s="26" t="s">
        <v>1550</v>
      </c>
      <c r="CX65" s="26" t="s">
        <v>162</v>
      </c>
      <c r="CY65" s="26" t="s">
        <v>196</v>
      </c>
      <c r="CZ65" s="26">
        <v>0</v>
      </c>
      <c r="DB65" s="26">
        <v>0</v>
      </c>
      <c r="DK65" s="26" t="s">
        <v>150</v>
      </c>
      <c r="DL65" s="26" t="s">
        <v>1391</v>
      </c>
      <c r="DM65" s="26" t="s">
        <v>1551</v>
      </c>
      <c r="DN65" s="26" t="s">
        <v>1552</v>
      </c>
      <c r="DO65" s="26" t="s">
        <v>1553</v>
      </c>
      <c r="DP65" s="26" t="s">
        <v>1554</v>
      </c>
      <c r="DR65" s="26" t="s">
        <v>189</v>
      </c>
      <c r="DS65" s="26" t="s">
        <v>189</v>
      </c>
      <c r="DT65" s="26" t="s">
        <v>189</v>
      </c>
      <c r="DU65" s="26" t="s">
        <v>189</v>
      </c>
      <c r="DV65" s="26" t="s">
        <v>203</v>
      </c>
      <c r="DW65" s="26" t="s">
        <v>162</v>
      </c>
      <c r="DX65" s="26" t="s">
        <v>162</v>
      </c>
      <c r="DY65" s="26">
        <v>0</v>
      </c>
      <c r="DZ65" s="26" t="s">
        <v>150</v>
      </c>
      <c r="EH65" s="26" t="s">
        <v>189</v>
      </c>
      <c r="EI65" s="26">
        <v>0.16</v>
      </c>
      <c r="EJ65" s="26">
        <v>29.6416</v>
      </c>
      <c r="EK65" s="26">
        <v>12.78</v>
      </c>
      <c r="EL65" s="26" t="s">
        <v>1555</v>
      </c>
      <c r="EM65" s="26" t="s">
        <v>206</v>
      </c>
      <c r="EN65" s="26" t="s">
        <v>207</v>
      </c>
    </row>
    <row r="66" spans="1:144">
      <c r="A66" s="26" t="s">
        <v>145</v>
      </c>
      <c r="B66" s="26" t="s">
        <v>1556</v>
      </c>
      <c r="C66" s="26" t="s">
        <v>1557</v>
      </c>
      <c r="D66" s="26" t="s">
        <v>148</v>
      </c>
      <c r="E66" s="26" t="s">
        <v>149</v>
      </c>
      <c r="F66" s="26" t="s">
        <v>150</v>
      </c>
      <c r="G66" s="26" t="s">
        <v>151</v>
      </c>
      <c r="H66" s="26" t="s">
        <v>152</v>
      </c>
      <c r="I66" s="26" t="s">
        <v>153</v>
      </c>
      <c r="J66" s="26" t="s">
        <v>154</v>
      </c>
      <c r="K66" s="26" t="s">
        <v>989</v>
      </c>
      <c r="L66" s="26" t="s">
        <v>1367</v>
      </c>
      <c r="M66" s="26" t="s">
        <v>1558</v>
      </c>
      <c r="N66" s="26" t="s">
        <v>1559</v>
      </c>
      <c r="O66" s="26" t="s">
        <v>1560</v>
      </c>
      <c r="P66" s="26" t="s">
        <v>1561</v>
      </c>
      <c r="Q66" s="26" t="s">
        <v>1562</v>
      </c>
      <c r="R66" s="26">
        <v>212.17262</v>
      </c>
      <c r="S66" s="26" t="s">
        <v>1563</v>
      </c>
      <c r="T66" s="26">
        <v>51.63136</v>
      </c>
      <c r="U66" s="26" t="s">
        <v>217</v>
      </c>
      <c r="V66" s="26" t="s">
        <v>150</v>
      </c>
      <c r="Y66" s="26" t="s">
        <v>1564</v>
      </c>
      <c r="Z66" s="26">
        <v>7.9544564</v>
      </c>
      <c r="AA66" s="26">
        <v>0</v>
      </c>
      <c r="AB66" s="26">
        <v>0</v>
      </c>
      <c r="AC66" s="26">
        <v>8.5</v>
      </c>
      <c r="AD66" s="26" t="s">
        <v>1565</v>
      </c>
      <c r="AE66" s="26" t="s">
        <v>1566</v>
      </c>
      <c r="AF66" s="26" t="s">
        <v>1566</v>
      </c>
      <c r="AG66" s="26" t="s">
        <v>1567</v>
      </c>
      <c r="AH66" s="26" t="s">
        <v>1568</v>
      </c>
      <c r="AI66" s="26" t="s">
        <v>167</v>
      </c>
      <c r="AJ66" s="26" t="s">
        <v>168</v>
      </c>
      <c r="AK66" s="26" t="s">
        <v>169</v>
      </c>
      <c r="AL66" s="26" t="s">
        <v>1569</v>
      </c>
      <c r="AM66" s="26" t="s">
        <v>1570</v>
      </c>
      <c r="AN66" s="26" t="s">
        <v>172</v>
      </c>
      <c r="AO66" s="26" t="s">
        <v>1571</v>
      </c>
      <c r="AP66" s="26" t="s">
        <v>162</v>
      </c>
      <c r="AQ66" s="26" t="s">
        <v>1572</v>
      </c>
      <c r="AR66" s="26" t="s">
        <v>1573</v>
      </c>
      <c r="AS66" s="26" t="s">
        <v>751</v>
      </c>
      <c r="AT66" s="26" t="s">
        <v>1574</v>
      </c>
      <c r="AU66" s="26" t="s">
        <v>1575</v>
      </c>
      <c r="AV66" s="26" t="s">
        <v>1575</v>
      </c>
      <c r="AX66" s="26" t="s">
        <v>1576</v>
      </c>
      <c r="AY66" s="26" t="s">
        <v>179</v>
      </c>
      <c r="BC66" s="26" t="s">
        <v>1557</v>
      </c>
      <c r="BD66" s="26" t="s">
        <v>180</v>
      </c>
      <c r="BE66" s="26" t="s">
        <v>1007</v>
      </c>
      <c r="BF66" s="26" t="s">
        <v>167</v>
      </c>
      <c r="BH66" s="26" t="s">
        <v>162</v>
      </c>
      <c r="BI66" s="26" t="s">
        <v>182</v>
      </c>
      <c r="BJ66" s="26" t="s">
        <v>1577</v>
      </c>
      <c r="BK66" s="26" t="s">
        <v>1469</v>
      </c>
      <c r="BL66" s="26" t="s">
        <v>185</v>
      </c>
      <c r="BM66" s="26" t="s">
        <v>186</v>
      </c>
      <c r="BN66" s="26" t="s">
        <v>162</v>
      </c>
      <c r="BP66" s="26">
        <v>0</v>
      </c>
      <c r="BQ66" s="26" t="s">
        <v>1578</v>
      </c>
      <c r="BR66" s="26" t="s">
        <v>1579</v>
      </c>
      <c r="BS66" s="26" t="s">
        <v>188</v>
      </c>
      <c r="BT66" s="26" t="s">
        <v>185</v>
      </c>
      <c r="BV66" s="26">
        <v>3.4608</v>
      </c>
      <c r="BW66" s="26">
        <v>0.06</v>
      </c>
      <c r="BZ66" s="26">
        <v>0</v>
      </c>
      <c r="CA66" s="26" t="s">
        <v>189</v>
      </c>
      <c r="CC66" s="26" t="s">
        <v>162</v>
      </c>
      <c r="CD66" s="26">
        <v>0</v>
      </c>
      <c r="CE66" s="26" t="s">
        <v>190</v>
      </c>
      <c r="CF66" s="26" t="s">
        <v>435</v>
      </c>
      <c r="CG66" s="26" t="s">
        <v>1580</v>
      </c>
      <c r="CI66" s="26" t="s">
        <v>1009</v>
      </c>
      <c r="CJ66" s="26">
        <v>57.68</v>
      </c>
      <c r="CK66" s="26">
        <v>0</v>
      </c>
      <c r="CL66" s="26">
        <v>2.88</v>
      </c>
      <c r="CM66" s="26">
        <v>23.14</v>
      </c>
      <c r="CQ66" s="26" t="s">
        <v>605</v>
      </c>
      <c r="CR66" s="26" t="s">
        <v>1581</v>
      </c>
      <c r="CS66" s="26" t="s">
        <v>1582</v>
      </c>
      <c r="CW66" s="26" t="s">
        <v>1583</v>
      </c>
      <c r="CX66" s="26" t="s">
        <v>162</v>
      </c>
      <c r="CY66" s="26" t="s">
        <v>196</v>
      </c>
      <c r="CZ66" s="26">
        <v>0</v>
      </c>
      <c r="DA66" s="26" t="s">
        <v>150</v>
      </c>
      <c r="DB66" s="26">
        <v>0</v>
      </c>
      <c r="DK66" s="26" t="s">
        <v>150</v>
      </c>
      <c r="DL66" s="26" t="s">
        <v>1421</v>
      </c>
      <c r="DM66" s="26" t="s">
        <v>1584</v>
      </c>
      <c r="DN66" s="26" t="s">
        <v>1585</v>
      </c>
      <c r="DO66" s="26" t="s">
        <v>1586</v>
      </c>
      <c r="DP66" s="26" t="s">
        <v>1587</v>
      </c>
      <c r="DR66" s="26" t="s">
        <v>189</v>
      </c>
      <c r="DS66" s="26" t="s">
        <v>189</v>
      </c>
      <c r="DT66" s="26" t="s">
        <v>189</v>
      </c>
      <c r="DU66" s="26" t="s">
        <v>189</v>
      </c>
      <c r="DV66" s="26" t="s">
        <v>203</v>
      </c>
      <c r="DW66" s="26" t="s">
        <v>162</v>
      </c>
      <c r="DX66" s="26" t="s">
        <v>162</v>
      </c>
      <c r="DY66" s="26">
        <v>0</v>
      </c>
      <c r="DZ66" s="26" t="s">
        <v>150</v>
      </c>
      <c r="EA66" s="26" t="s">
        <v>1396</v>
      </c>
      <c r="EB66" s="26" t="s">
        <v>1397</v>
      </c>
      <c r="EH66" s="26" t="s">
        <v>189</v>
      </c>
      <c r="EI66" s="26">
        <v>0.06</v>
      </c>
      <c r="EJ66" s="26">
        <v>3.4608</v>
      </c>
      <c r="EK66" s="26">
        <v>23.14</v>
      </c>
      <c r="EL66" s="26" t="s">
        <v>1588</v>
      </c>
      <c r="EM66" s="26" t="s">
        <v>206</v>
      </c>
      <c r="EN66" s="26" t="s">
        <v>207</v>
      </c>
    </row>
    <row r="67" spans="1:144">
      <c r="A67" s="26" t="s">
        <v>145</v>
      </c>
      <c r="B67" s="26" t="s">
        <v>1556</v>
      </c>
      <c r="C67" s="26" t="s">
        <v>1557</v>
      </c>
      <c r="D67" s="26" t="s">
        <v>148</v>
      </c>
      <c r="E67" s="26" t="s">
        <v>149</v>
      </c>
      <c r="F67" s="26" t="s">
        <v>150</v>
      </c>
      <c r="G67" s="26" t="s">
        <v>151</v>
      </c>
      <c r="H67" s="26" t="s">
        <v>152</v>
      </c>
      <c r="I67" s="26" t="s">
        <v>153</v>
      </c>
      <c r="J67" s="26" t="s">
        <v>154</v>
      </c>
      <c r="K67" s="26" t="s">
        <v>989</v>
      </c>
      <c r="L67" s="26" t="s">
        <v>1367</v>
      </c>
      <c r="M67" s="26" t="s">
        <v>1558</v>
      </c>
      <c r="O67" s="26" t="s">
        <v>1560</v>
      </c>
      <c r="P67" s="26" t="s">
        <v>1561</v>
      </c>
      <c r="S67" s="26" t="s">
        <v>1563</v>
      </c>
      <c r="T67" s="26">
        <v>51.63136</v>
      </c>
      <c r="U67" s="26" t="s">
        <v>217</v>
      </c>
      <c r="V67" s="26" t="s">
        <v>150</v>
      </c>
      <c r="Y67" s="26" t="s">
        <v>1564</v>
      </c>
      <c r="Z67" s="26">
        <v>7.9544564</v>
      </c>
      <c r="AA67" s="26">
        <v>0</v>
      </c>
      <c r="AB67" s="26">
        <v>0</v>
      </c>
      <c r="AC67" s="26">
        <v>8.5</v>
      </c>
      <c r="AD67" s="26" t="s">
        <v>1565</v>
      </c>
      <c r="AE67" s="26" t="s">
        <v>1566</v>
      </c>
      <c r="AF67" s="26" t="s">
        <v>1566</v>
      </c>
      <c r="AG67" s="26" t="s">
        <v>1567</v>
      </c>
      <c r="AH67" s="26" t="s">
        <v>1568</v>
      </c>
      <c r="AI67" s="26" t="s">
        <v>167</v>
      </c>
      <c r="AJ67" s="26" t="s">
        <v>168</v>
      </c>
      <c r="AK67" s="26" t="s">
        <v>169</v>
      </c>
      <c r="AM67" s="26" t="s">
        <v>1570</v>
      </c>
      <c r="AN67" s="26" t="s">
        <v>172</v>
      </c>
      <c r="AO67" s="26" t="s">
        <v>1571</v>
      </c>
      <c r="AP67" s="26" t="s">
        <v>162</v>
      </c>
      <c r="AQ67" s="26" t="s">
        <v>1572</v>
      </c>
      <c r="AR67" s="26" t="s">
        <v>1573</v>
      </c>
      <c r="AS67" s="26" t="s">
        <v>751</v>
      </c>
      <c r="AT67" s="26" t="s">
        <v>1574</v>
      </c>
      <c r="AU67" s="26" t="s">
        <v>1575</v>
      </c>
      <c r="AV67" s="26" t="s">
        <v>1575</v>
      </c>
      <c r="AX67" s="26" t="s">
        <v>1576</v>
      </c>
      <c r="AY67" s="26" t="s">
        <v>179</v>
      </c>
      <c r="BC67" s="26" t="s">
        <v>1557</v>
      </c>
      <c r="BD67" s="26" t="s">
        <v>180</v>
      </c>
      <c r="BE67" s="26" t="s">
        <v>1007</v>
      </c>
      <c r="BF67" s="26" t="s">
        <v>167</v>
      </c>
      <c r="BH67" s="26" t="s">
        <v>162</v>
      </c>
      <c r="BI67" s="26" t="s">
        <v>182</v>
      </c>
      <c r="BJ67" s="26" t="s">
        <v>1577</v>
      </c>
      <c r="BK67" s="26" t="s">
        <v>1469</v>
      </c>
      <c r="BL67" s="26" t="s">
        <v>185</v>
      </c>
      <c r="BM67" s="26" t="s">
        <v>186</v>
      </c>
      <c r="BN67" s="26" t="s">
        <v>162</v>
      </c>
      <c r="BP67" s="26">
        <v>0</v>
      </c>
      <c r="BQ67" s="26" t="s">
        <v>1578</v>
      </c>
      <c r="BR67" s="26" t="s">
        <v>1579</v>
      </c>
      <c r="BS67" s="26" t="s">
        <v>188</v>
      </c>
      <c r="BT67" s="26" t="s">
        <v>185</v>
      </c>
      <c r="BV67" s="26">
        <v>3.4608</v>
      </c>
      <c r="BW67" s="26">
        <v>0.06</v>
      </c>
      <c r="BZ67" s="26">
        <v>0</v>
      </c>
      <c r="CA67" s="26" t="s">
        <v>189</v>
      </c>
      <c r="CC67" s="26" t="s">
        <v>162</v>
      </c>
      <c r="CD67" s="26">
        <v>0</v>
      </c>
      <c r="CE67" s="26" t="s">
        <v>190</v>
      </c>
      <c r="CF67" s="26" t="s">
        <v>167</v>
      </c>
      <c r="CG67" s="26" t="s">
        <v>1580</v>
      </c>
      <c r="CI67" s="26" t="s">
        <v>1009</v>
      </c>
      <c r="CJ67" s="26">
        <v>57.68</v>
      </c>
      <c r="CK67" s="26">
        <v>0</v>
      </c>
      <c r="CL67" s="26">
        <v>2.88</v>
      </c>
      <c r="CM67" s="26">
        <v>23.14</v>
      </c>
      <c r="CQ67" s="26" t="s">
        <v>605</v>
      </c>
      <c r="CR67" s="26" t="s">
        <v>1581</v>
      </c>
      <c r="CS67" s="26" t="s">
        <v>1582</v>
      </c>
      <c r="CW67" s="26" t="s">
        <v>1583</v>
      </c>
      <c r="CX67" s="26" t="s">
        <v>162</v>
      </c>
      <c r="CY67" s="26" t="s">
        <v>196</v>
      </c>
      <c r="CZ67" s="26">
        <v>0</v>
      </c>
      <c r="DA67" s="26" t="s">
        <v>150</v>
      </c>
      <c r="DB67" s="26">
        <v>0</v>
      </c>
      <c r="DK67" s="26" t="s">
        <v>150</v>
      </c>
      <c r="DL67" s="26" t="s">
        <v>1421</v>
      </c>
      <c r="DM67" s="26" t="s">
        <v>1584</v>
      </c>
      <c r="DN67" s="26" t="s">
        <v>1585</v>
      </c>
      <c r="DO67" s="26" t="s">
        <v>1586</v>
      </c>
      <c r="DP67" s="26" t="s">
        <v>1587</v>
      </c>
      <c r="DR67" s="26" t="s">
        <v>189</v>
      </c>
      <c r="DS67" s="26" t="s">
        <v>189</v>
      </c>
      <c r="DT67" s="26" t="s">
        <v>189</v>
      </c>
      <c r="DU67" s="26" t="s">
        <v>189</v>
      </c>
      <c r="DV67" s="26" t="s">
        <v>203</v>
      </c>
      <c r="DW67" s="26" t="s">
        <v>162</v>
      </c>
      <c r="DX67" s="26" t="s">
        <v>162</v>
      </c>
      <c r="DY67" s="26">
        <v>0</v>
      </c>
      <c r="DZ67" s="26" t="s">
        <v>150</v>
      </c>
      <c r="EA67" s="26" t="s">
        <v>1396</v>
      </c>
      <c r="EB67" s="26" t="s">
        <v>1397</v>
      </c>
      <c r="EH67" s="26" t="s">
        <v>189</v>
      </c>
      <c r="EI67" s="26">
        <v>0.06</v>
      </c>
      <c r="EJ67" s="26">
        <v>3.4608</v>
      </c>
      <c r="EK67" s="26">
        <v>23.14</v>
      </c>
      <c r="EL67" s="26" t="s">
        <v>1588</v>
      </c>
      <c r="EM67" s="26" t="s">
        <v>206</v>
      </c>
      <c r="EN67" s="26" t="s">
        <v>207</v>
      </c>
    </row>
    <row r="68" spans="1:144">
      <c r="A68" s="26" t="s">
        <v>145</v>
      </c>
      <c r="B68" s="26" t="s">
        <v>1556</v>
      </c>
      <c r="C68" s="26" t="s">
        <v>1557</v>
      </c>
      <c r="D68" s="26" t="s">
        <v>148</v>
      </c>
      <c r="E68" s="26" t="s">
        <v>149</v>
      </c>
      <c r="F68" s="26" t="s">
        <v>150</v>
      </c>
      <c r="G68" s="26" t="s">
        <v>151</v>
      </c>
      <c r="H68" s="26" t="s">
        <v>152</v>
      </c>
      <c r="I68" s="26" t="s">
        <v>153</v>
      </c>
      <c r="J68" s="26" t="s">
        <v>154</v>
      </c>
      <c r="K68" s="26" t="s">
        <v>989</v>
      </c>
      <c r="L68" s="26" t="s">
        <v>1367</v>
      </c>
      <c r="M68" s="26" t="s">
        <v>1558</v>
      </c>
      <c r="O68" s="26" t="s">
        <v>1589</v>
      </c>
      <c r="P68" s="26" t="s">
        <v>1590</v>
      </c>
      <c r="S68" s="26" t="s">
        <v>1591</v>
      </c>
      <c r="T68" s="26">
        <v>42.35385</v>
      </c>
      <c r="U68" s="26" t="s">
        <v>217</v>
      </c>
      <c r="V68" s="26" t="s">
        <v>150</v>
      </c>
      <c r="Y68" s="26" t="s">
        <v>1564</v>
      </c>
      <c r="Z68" s="26">
        <v>7.9544564</v>
      </c>
      <c r="AA68" s="26">
        <v>0</v>
      </c>
      <c r="AB68" s="26">
        <v>0</v>
      </c>
      <c r="AC68" s="26">
        <v>5</v>
      </c>
      <c r="AD68" s="26" t="s">
        <v>1592</v>
      </c>
      <c r="AE68" s="26" t="s">
        <v>1593</v>
      </c>
      <c r="AF68" s="26" t="s">
        <v>1593</v>
      </c>
      <c r="AG68" s="26" t="s">
        <v>1594</v>
      </c>
      <c r="AH68" s="26" t="s">
        <v>1595</v>
      </c>
      <c r="AI68" s="26" t="s">
        <v>167</v>
      </c>
      <c r="AJ68" s="26" t="s">
        <v>168</v>
      </c>
      <c r="AK68" s="26" t="s">
        <v>169</v>
      </c>
      <c r="AM68" s="26" t="s">
        <v>1596</v>
      </c>
      <c r="AN68" s="26" t="s">
        <v>172</v>
      </c>
      <c r="AO68" s="26" t="s">
        <v>1597</v>
      </c>
      <c r="AP68" s="26" t="s">
        <v>162</v>
      </c>
      <c r="AQ68" s="26" t="s">
        <v>1572</v>
      </c>
      <c r="AR68" s="26" t="s">
        <v>1573</v>
      </c>
      <c r="AS68" s="26" t="s">
        <v>1003</v>
      </c>
      <c r="AT68" s="26" t="s">
        <v>1004</v>
      </c>
      <c r="AU68" s="26" t="s">
        <v>1575</v>
      </c>
      <c r="AV68" s="26" t="s">
        <v>1575</v>
      </c>
      <c r="AX68" s="26" t="s">
        <v>1598</v>
      </c>
      <c r="AY68" s="26" t="s">
        <v>179</v>
      </c>
      <c r="BC68" s="26" t="s">
        <v>1557</v>
      </c>
      <c r="BD68" s="26" t="s">
        <v>180</v>
      </c>
      <c r="BE68" s="26" t="s">
        <v>1007</v>
      </c>
      <c r="BF68" s="26" t="s">
        <v>167</v>
      </c>
      <c r="BH68" s="26" t="s">
        <v>162</v>
      </c>
      <c r="BI68" s="26" t="s">
        <v>182</v>
      </c>
      <c r="BJ68" s="26" t="s">
        <v>1599</v>
      </c>
      <c r="BK68" s="26" t="s">
        <v>1469</v>
      </c>
      <c r="BL68" s="26" t="s">
        <v>185</v>
      </c>
      <c r="BM68" s="26" t="s">
        <v>186</v>
      </c>
      <c r="BN68" s="26" t="s">
        <v>162</v>
      </c>
      <c r="BP68" s="26">
        <v>0</v>
      </c>
      <c r="BQ68" s="26" t="s">
        <v>1600</v>
      </c>
      <c r="BR68" s="26" t="s">
        <v>1601</v>
      </c>
      <c r="BS68" s="26" t="s">
        <v>188</v>
      </c>
      <c r="BT68" s="26" t="s">
        <v>185</v>
      </c>
      <c r="BV68" s="26">
        <v>2.904</v>
      </c>
      <c r="BW68" s="26">
        <v>0.06</v>
      </c>
      <c r="BZ68" s="26">
        <v>0</v>
      </c>
      <c r="CA68" s="26" t="s">
        <v>189</v>
      </c>
      <c r="CC68" s="26" t="s">
        <v>162</v>
      </c>
      <c r="CD68" s="26">
        <v>0</v>
      </c>
      <c r="CE68" s="26" t="s">
        <v>190</v>
      </c>
      <c r="CF68" s="26" t="s">
        <v>195</v>
      </c>
      <c r="CG68" s="26" t="s">
        <v>1602</v>
      </c>
      <c r="CI68" s="26" t="s">
        <v>1009</v>
      </c>
      <c r="CJ68" s="26">
        <v>48.4</v>
      </c>
      <c r="CK68" s="26">
        <v>0</v>
      </c>
      <c r="CL68" s="26">
        <v>2.42</v>
      </c>
      <c r="CM68" s="26">
        <v>25.39</v>
      </c>
      <c r="CQ68" s="26" t="s">
        <v>233</v>
      </c>
      <c r="CR68" s="26" t="s">
        <v>1581</v>
      </c>
      <c r="CS68" s="26" t="s">
        <v>1582</v>
      </c>
      <c r="CW68" s="26" t="s">
        <v>1603</v>
      </c>
      <c r="CX68" s="26" t="s">
        <v>162</v>
      </c>
      <c r="CY68" s="26" t="s">
        <v>196</v>
      </c>
      <c r="CZ68" s="26">
        <v>0</v>
      </c>
      <c r="DA68" s="26" t="s">
        <v>150</v>
      </c>
      <c r="DB68" s="26">
        <v>0</v>
      </c>
      <c r="DK68" s="26" t="s">
        <v>150</v>
      </c>
      <c r="DL68" s="26" t="s">
        <v>1421</v>
      </c>
      <c r="DM68" s="26" t="s">
        <v>1584</v>
      </c>
      <c r="DN68" s="26" t="s">
        <v>1585</v>
      </c>
      <c r="DO68" s="26" t="s">
        <v>1586</v>
      </c>
      <c r="DP68" s="26" t="s">
        <v>1587</v>
      </c>
      <c r="DR68" s="26" t="s">
        <v>189</v>
      </c>
      <c r="DS68" s="26" t="s">
        <v>189</v>
      </c>
      <c r="DT68" s="26" t="s">
        <v>189</v>
      </c>
      <c r="DU68" s="26" t="s">
        <v>189</v>
      </c>
      <c r="DV68" s="26" t="s">
        <v>203</v>
      </c>
      <c r="DW68" s="26" t="s">
        <v>162</v>
      </c>
      <c r="DX68" s="26" t="s">
        <v>162</v>
      </c>
      <c r="DY68" s="26">
        <v>0</v>
      </c>
      <c r="DZ68" s="26" t="s">
        <v>150</v>
      </c>
      <c r="EA68" s="26" t="s">
        <v>1004</v>
      </c>
      <c r="EB68" s="26" t="s">
        <v>1019</v>
      </c>
      <c r="EH68" s="26" t="s">
        <v>189</v>
      </c>
      <c r="EI68" s="26">
        <v>0.06</v>
      </c>
      <c r="EJ68" s="26">
        <v>2.904</v>
      </c>
      <c r="EK68" s="26">
        <v>25.39</v>
      </c>
      <c r="EL68" s="26" t="s">
        <v>1604</v>
      </c>
      <c r="EM68" s="26" t="s">
        <v>206</v>
      </c>
      <c r="EN68" s="26" t="s">
        <v>207</v>
      </c>
    </row>
    <row r="69" spans="1:144">
      <c r="A69" s="26" t="s">
        <v>145</v>
      </c>
      <c r="B69" s="26" t="s">
        <v>1556</v>
      </c>
      <c r="C69" s="26" t="s">
        <v>1557</v>
      </c>
      <c r="D69" s="26" t="s">
        <v>148</v>
      </c>
      <c r="E69" s="26" t="s">
        <v>149</v>
      </c>
      <c r="F69" s="26" t="s">
        <v>150</v>
      </c>
      <c r="G69" s="26" t="s">
        <v>151</v>
      </c>
      <c r="H69" s="26" t="s">
        <v>152</v>
      </c>
      <c r="I69" s="26" t="s">
        <v>153</v>
      </c>
      <c r="J69" s="26" t="s">
        <v>154</v>
      </c>
      <c r="K69" s="26" t="s">
        <v>989</v>
      </c>
      <c r="L69" s="26" t="s">
        <v>1367</v>
      </c>
      <c r="M69" s="26" t="s">
        <v>1558</v>
      </c>
      <c r="O69" s="26" t="s">
        <v>1589</v>
      </c>
      <c r="P69" s="26" t="s">
        <v>1590</v>
      </c>
      <c r="S69" s="26" t="s">
        <v>1591</v>
      </c>
      <c r="T69" s="26">
        <v>42.35385</v>
      </c>
      <c r="U69" s="26" t="s">
        <v>217</v>
      </c>
      <c r="V69" s="26" t="s">
        <v>150</v>
      </c>
      <c r="Y69" s="26" t="s">
        <v>1564</v>
      </c>
      <c r="Z69" s="26">
        <v>7.9544564</v>
      </c>
      <c r="AA69" s="26">
        <v>0</v>
      </c>
      <c r="AB69" s="26">
        <v>0</v>
      </c>
      <c r="AC69" s="26">
        <v>5</v>
      </c>
      <c r="AD69" s="26" t="s">
        <v>1592</v>
      </c>
      <c r="AE69" s="26" t="s">
        <v>1593</v>
      </c>
      <c r="AF69" s="26" t="s">
        <v>1593</v>
      </c>
      <c r="AG69" s="26" t="s">
        <v>1594</v>
      </c>
      <c r="AH69" s="26" t="s">
        <v>1595</v>
      </c>
      <c r="AI69" s="26" t="s">
        <v>167</v>
      </c>
      <c r="AJ69" s="26" t="s">
        <v>168</v>
      </c>
      <c r="AK69" s="26" t="s">
        <v>169</v>
      </c>
      <c r="AM69" s="26" t="s">
        <v>1596</v>
      </c>
      <c r="AN69" s="26" t="s">
        <v>172</v>
      </c>
      <c r="AO69" s="26" t="s">
        <v>1597</v>
      </c>
      <c r="AP69" s="26" t="s">
        <v>162</v>
      </c>
      <c r="AQ69" s="26" t="s">
        <v>1572</v>
      </c>
      <c r="AR69" s="26" t="s">
        <v>1573</v>
      </c>
      <c r="AS69" s="26" t="s">
        <v>1003</v>
      </c>
      <c r="AT69" s="26" t="s">
        <v>1004</v>
      </c>
      <c r="AU69" s="26" t="s">
        <v>1575</v>
      </c>
      <c r="AV69" s="26" t="s">
        <v>1575</v>
      </c>
      <c r="AX69" s="26" t="s">
        <v>1598</v>
      </c>
      <c r="AY69" s="26" t="s">
        <v>179</v>
      </c>
      <c r="BC69" s="26" t="s">
        <v>1557</v>
      </c>
      <c r="BD69" s="26" t="s">
        <v>180</v>
      </c>
      <c r="BE69" s="26" t="s">
        <v>1007</v>
      </c>
      <c r="BF69" s="26" t="s">
        <v>167</v>
      </c>
      <c r="BH69" s="26" t="s">
        <v>162</v>
      </c>
      <c r="BI69" s="26" t="s">
        <v>182</v>
      </c>
      <c r="BJ69" s="26" t="s">
        <v>1599</v>
      </c>
      <c r="BK69" s="26" t="s">
        <v>1469</v>
      </c>
      <c r="BL69" s="26" t="s">
        <v>185</v>
      </c>
      <c r="BM69" s="26" t="s">
        <v>186</v>
      </c>
      <c r="BN69" s="26" t="s">
        <v>162</v>
      </c>
      <c r="BP69" s="26">
        <v>0</v>
      </c>
      <c r="BQ69" s="26" t="s">
        <v>1600</v>
      </c>
      <c r="BR69" s="26" t="s">
        <v>1601</v>
      </c>
      <c r="BS69" s="26" t="s">
        <v>188</v>
      </c>
      <c r="BT69" s="26" t="s">
        <v>185</v>
      </c>
      <c r="BV69" s="26">
        <v>2.904</v>
      </c>
      <c r="BW69" s="26">
        <v>0.06</v>
      </c>
      <c r="BZ69" s="26">
        <v>0</v>
      </c>
      <c r="CA69" s="26" t="s">
        <v>189</v>
      </c>
      <c r="CC69" s="26" t="s">
        <v>162</v>
      </c>
      <c r="CD69" s="26">
        <v>0</v>
      </c>
      <c r="CE69" s="26" t="s">
        <v>190</v>
      </c>
      <c r="CF69" s="26" t="s">
        <v>305</v>
      </c>
      <c r="CG69" s="26" t="s">
        <v>1602</v>
      </c>
      <c r="CI69" s="26" t="s">
        <v>1009</v>
      </c>
      <c r="CJ69" s="26">
        <v>48.4</v>
      </c>
      <c r="CK69" s="26">
        <v>0</v>
      </c>
      <c r="CL69" s="26">
        <v>2.42</v>
      </c>
      <c r="CM69" s="26">
        <v>25.39</v>
      </c>
      <c r="CQ69" s="26" t="s">
        <v>233</v>
      </c>
      <c r="CR69" s="26" t="s">
        <v>1581</v>
      </c>
      <c r="CS69" s="26" t="s">
        <v>1582</v>
      </c>
      <c r="CW69" s="26" t="s">
        <v>1603</v>
      </c>
      <c r="CX69" s="26" t="s">
        <v>162</v>
      </c>
      <c r="CY69" s="26" t="s">
        <v>196</v>
      </c>
      <c r="CZ69" s="26">
        <v>0</v>
      </c>
      <c r="DA69" s="26" t="s">
        <v>150</v>
      </c>
      <c r="DB69" s="26">
        <v>0</v>
      </c>
      <c r="DK69" s="26" t="s">
        <v>150</v>
      </c>
      <c r="DL69" s="26" t="s">
        <v>1421</v>
      </c>
      <c r="DM69" s="26" t="s">
        <v>1584</v>
      </c>
      <c r="DN69" s="26" t="s">
        <v>1585</v>
      </c>
      <c r="DO69" s="26" t="s">
        <v>1586</v>
      </c>
      <c r="DP69" s="26" t="s">
        <v>1587</v>
      </c>
      <c r="DR69" s="26" t="s">
        <v>189</v>
      </c>
      <c r="DS69" s="26" t="s">
        <v>189</v>
      </c>
      <c r="DT69" s="26" t="s">
        <v>189</v>
      </c>
      <c r="DU69" s="26" t="s">
        <v>189</v>
      </c>
      <c r="DV69" s="26" t="s">
        <v>203</v>
      </c>
      <c r="DW69" s="26" t="s">
        <v>162</v>
      </c>
      <c r="DX69" s="26" t="s">
        <v>162</v>
      </c>
      <c r="DY69" s="26">
        <v>0</v>
      </c>
      <c r="DZ69" s="26" t="s">
        <v>150</v>
      </c>
      <c r="EA69" s="26" t="s">
        <v>1004</v>
      </c>
      <c r="EB69" s="26" t="s">
        <v>1019</v>
      </c>
      <c r="EH69" s="26" t="s">
        <v>189</v>
      </c>
      <c r="EI69" s="26">
        <v>0.06</v>
      </c>
      <c r="EJ69" s="26">
        <v>2.904</v>
      </c>
      <c r="EK69" s="26">
        <v>25.39</v>
      </c>
      <c r="EL69" s="26" t="s">
        <v>1604</v>
      </c>
      <c r="EM69" s="26" t="s">
        <v>206</v>
      </c>
      <c r="EN69" s="26" t="s">
        <v>207</v>
      </c>
    </row>
    <row r="70" spans="1:144">
      <c r="A70" s="26" t="s">
        <v>145</v>
      </c>
      <c r="B70" s="26" t="s">
        <v>395</v>
      </c>
      <c r="C70" s="26" t="s">
        <v>1605</v>
      </c>
      <c r="D70" s="26" t="s">
        <v>148</v>
      </c>
      <c r="E70" s="26" t="s">
        <v>149</v>
      </c>
      <c r="G70" s="26" t="s">
        <v>151</v>
      </c>
      <c r="H70" s="26" t="s">
        <v>152</v>
      </c>
      <c r="I70" s="26" t="s">
        <v>153</v>
      </c>
      <c r="J70" s="26" t="s">
        <v>154</v>
      </c>
      <c r="K70" s="26" t="s">
        <v>244</v>
      </c>
      <c r="L70" s="26" t="s">
        <v>549</v>
      </c>
      <c r="M70" s="26" t="s">
        <v>1606</v>
      </c>
      <c r="N70" s="26" t="s">
        <v>1607</v>
      </c>
      <c r="O70" s="26" t="s">
        <v>1608</v>
      </c>
      <c r="P70" s="26" t="s">
        <v>1609</v>
      </c>
      <c r="Q70" s="26" t="s">
        <v>372</v>
      </c>
      <c r="R70" s="26">
        <v>333.335</v>
      </c>
      <c r="S70" s="26" t="s">
        <v>1610</v>
      </c>
      <c r="T70" s="26">
        <v>327.2</v>
      </c>
      <c r="U70" s="26" t="s">
        <v>217</v>
      </c>
      <c r="V70" s="26" t="s">
        <v>150</v>
      </c>
      <c r="Y70" s="26" t="s">
        <v>1611</v>
      </c>
      <c r="Z70" s="26">
        <v>50.00025</v>
      </c>
      <c r="AA70" s="26">
        <v>0</v>
      </c>
      <c r="AB70" s="26">
        <v>0</v>
      </c>
      <c r="AC70" s="26">
        <v>84</v>
      </c>
      <c r="AD70" s="26" t="s">
        <v>1612</v>
      </c>
      <c r="AE70" s="26" t="s">
        <v>1612</v>
      </c>
      <c r="AF70" s="26" t="s">
        <v>1612</v>
      </c>
      <c r="AG70" s="26" t="s">
        <v>1613</v>
      </c>
      <c r="AI70" s="26" t="s">
        <v>167</v>
      </c>
      <c r="AJ70" s="26" t="s">
        <v>168</v>
      </c>
      <c r="AK70" s="26" t="s">
        <v>169</v>
      </c>
      <c r="AL70" s="26" t="s">
        <v>940</v>
      </c>
      <c r="AM70" s="26" t="s">
        <v>1614</v>
      </c>
      <c r="AN70" s="26" t="s">
        <v>172</v>
      </c>
      <c r="AO70" s="26" t="s">
        <v>257</v>
      </c>
      <c r="AP70" s="26" t="s">
        <v>162</v>
      </c>
      <c r="AQ70" s="26" t="s">
        <v>1615</v>
      </c>
      <c r="AR70" s="26" t="s">
        <v>1616</v>
      </c>
      <c r="AS70" s="26" t="s">
        <v>1617</v>
      </c>
      <c r="AU70" s="26" t="s">
        <v>1618</v>
      </c>
      <c r="AV70" s="26" t="s">
        <v>1618</v>
      </c>
      <c r="AX70" s="26" t="s">
        <v>1619</v>
      </c>
      <c r="AY70" s="26" t="s">
        <v>179</v>
      </c>
      <c r="BC70" s="26" t="s">
        <v>1605</v>
      </c>
      <c r="BD70" s="26" t="s">
        <v>180</v>
      </c>
      <c r="BE70" s="26" t="s">
        <v>181</v>
      </c>
      <c r="BF70" s="26" t="s">
        <v>167</v>
      </c>
      <c r="BH70" s="26" t="s">
        <v>162</v>
      </c>
      <c r="BI70" s="26" t="s">
        <v>182</v>
      </c>
      <c r="BJ70" s="26" t="s">
        <v>1620</v>
      </c>
      <c r="BK70" s="26" t="s">
        <v>184</v>
      </c>
      <c r="BL70" s="26" t="s">
        <v>185</v>
      </c>
      <c r="BM70" s="26" t="s">
        <v>186</v>
      </c>
      <c r="BN70" s="26" t="s">
        <v>162</v>
      </c>
      <c r="BP70" s="26">
        <v>0</v>
      </c>
      <c r="BQ70" s="26" t="s">
        <v>265</v>
      </c>
      <c r="BS70" s="26" t="s">
        <v>188</v>
      </c>
      <c r="BT70" s="26" t="s">
        <v>185</v>
      </c>
      <c r="BV70" s="26">
        <v>53.3328</v>
      </c>
      <c r="BW70" s="26">
        <v>0.16</v>
      </c>
      <c r="BZ70" s="26">
        <v>0</v>
      </c>
      <c r="CA70" s="26" t="s">
        <v>189</v>
      </c>
      <c r="CC70" s="26" t="s">
        <v>162</v>
      </c>
      <c r="CD70" s="26">
        <v>0</v>
      </c>
      <c r="CE70" s="26" t="s">
        <v>190</v>
      </c>
      <c r="CF70" s="26" t="s">
        <v>167</v>
      </c>
      <c r="CG70" s="26" t="s">
        <v>1621</v>
      </c>
      <c r="CI70" s="26" t="s">
        <v>267</v>
      </c>
      <c r="CJ70" s="26">
        <v>333.33</v>
      </c>
      <c r="CK70" s="26">
        <v>0</v>
      </c>
      <c r="CL70" s="26">
        <v>16.67</v>
      </c>
      <c r="CM70" s="26">
        <v>24.23</v>
      </c>
      <c r="CQ70" s="26" t="s">
        <v>233</v>
      </c>
      <c r="CR70" s="26" t="s">
        <v>1622</v>
      </c>
      <c r="CS70" s="26" t="s">
        <v>1623</v>
      </c>
      <c r="CW70" s="26" t="s">
        <v>1624</v>
      </c>
      <c r="CX70" s="26" t="s">
        <v>167</v>
      </c>
      <c r="CY70" s="26" t="s">
        <v>196</v>
      </c>
      <c r="CZ70" s="26">
        <v>0</v>
      </c>
      <c r="DB70" s="26">
        <v>0</v>
      </c>
      <c r="DK70" s="26" t="s">
        <v>150</v>
      </c>
      <c r="DL70" s="26" t="s">
        <v>390</v>
      </c>
      <c r="DM70" s="26" t="s">
        <v>1625</v>
      </c>
      <c r="DN70" s="26" t="s">
        <v>1626</v>
      </c>
      <c r="DO70" s="26" t="s">
        <v>1627</v>
      </c>
      <c r="DP70" s="26" t="s">
        <v>1628</v>
      </c>
      <c r="DR70" s="26" t="s">
        <v>189</v>
      </c>
      <c r="DS70" s="26" t="s">
        <v>189</v>
      </c>
      <c r="DT70" s="26" t="s">
        <v>189</v>
      </c>
      <c r="DU70" s="26" t="s">
        <v>189</v>
      </c>
      <c r="DV70" s="26" t="s">
        <v>203</v>
      </c>
      <c r="DW70" s="26" t="s">
        <v>162</v>
      </c>
      <c r="DX70" s="26" t="s">
        <v>162</v>
      </c>
      <c r="DY70" s="26">
        <v>0</v>
      </c>
      <c r="DZ70" s="26" t="s">
        <v>150</v>
      </c>
      <c r="EH70" s="26" t="s">
        <v>189</v>
      </c>
      <c r="EI70" s="26">
        <v>0.16</v>
      </c>
      <c r="EJ70" s="26">
        <v>53.3328</v>
      </c>
      <c r="EK70" s="26">
        <v>24.23</v>
      </c>
      <c r="EL70" s="26" t="s">
        <v>1629</v>
      </c>
      <c r="EM70" s="26" t="s">
        <v>206</v>
      </c>
      <c r="EN70" s="26" t="s">
        <v>207</v>
      </c>
    </row>
    <row r="71" spans="1:144">
      <c r="A71" s="26" t="s">
        <v>145</v>
      </c>
      <c r="B71" s="26" t="s">
        <v>1452</v>
      </c>
      <c r="C71" s="26" t="s">
        <v>1630</v>
      </c>
      <c r="D71" s="26" t="s">
        <v>148</v>
      </c>
      <c r="E71" s="26" t="s">
        <v>149</v>
      </c>
      <c r="G71" s="26" t="s">
        <v>151</v>
      </c>
      <c r="H71" s="26" t="s">
        <v>152</v>
      </c>
      <c r="I71" s="26" t="s">
        <v>153</v>
      </c>
      <c r="J71" s="26" t="s">
        <v>154</v>
      </c>
      <c r="K71" s="26" t="s">
        <v>1075</v>
      </c>
      <c r="L71" s="26" t="s">
        <v>1252</v>
      </c>
      <c r="M71" s="26" t="s">
        <v>1631</v>
      </c>
      <c r="N71" s="26" t="s">
        <v>1632</v>
      </c>
      <c r="O71" s="26" t="s">
        <v>1633</v>
      </c>
      <c r="P71" s="26" t="s">
        <v>1634</v>
      </c>
      <c r="Q71" s="26" t="s">
        <v>653</v>
      </c>
      <c r="R71" s="26">
        <v>222.154</v>
      </c>
      <c r="S71" s="26" t="s">
        <v>1635</v>
      </c>
      <c r="T71" s="26">
        <v>101.854</v>
      </c>
      <c r="U71" s="26" t="s">
        <v>217</v>
      </c>
      <c r="V71" s="26" t="s">
        <v>150</v>
      </c>
      <c r="Y71" s="26" t="s">
        <v>1636</v>
      </c>
      <c r="Z71" s="26">
        <v>16.66155</v>
      </c>
      <c r="AA71" s="26">
        <v>0</v>
      </c>
      <c r="AB71" s="26">
        <v>0</v>
      </c>
      <c r="AC71" s="26">
        <v>17</v>
      </c>
      <c r="AD71" s="26" t="s">
        <v>1637</v>
      </c>
      <c r="AE71" s="26" t="s">
        <v>1637</v>
      </c>
      <c r="AF71" s="26" t="s">
        <v>1637</v>
      </c>
      <c r="AG71" s="26" t="s">
        <v>1638</v>
      </c>
      <c r="AI71" s="26" t="s">
        <v>167</v>
      </c>
      <c r="AJ71" s="26" t="s">
        <v>168</v>
      </c>
      <c r="AK71" s="26" t="s">
        <v>169</v>
      </c>
      <c r="AL71" s="26" t="s">
        <v>1373</v>
      </c>
      <c r="AM71" s="26" t="s">
        <v>1639</v>
      </c>
      <c r="AN71" s="26" t="s">
        <v>172</v>
      </c>
      <c r="AO71" s="26" t="s">
        <v>695</v>
      </c>
      <c r="AP71" s="26" t="s">
        <v>162</v>
      </c>
      <c r="AQ71" s="26" t="s">
        <v>1640</v>
      </c>
      <c r="AR71" s="26" t="s">
        <v>1641</v>
      </c>
      <c r="AS71" s="26" t="s">
        <v>859</v>
      </c>
      <c r="AU71" s="26" t="s">
        <v>1642</v>
      </c>
      <c r="AV71" s="26" t="s">
        <v>1642</v>
      </c>
      <c r="AX71" s="26" t="s">
        <v>1643</v>
      </c>
      <c r="AY71" s="26" t="s">
        <v>179</v>
      </c>
      <c r="BC71" s="26" t="s">
        <v>1630</v>
      </c>
      <c r="BD71" s="26" t="s">
        <v>180</v>
      </c>
      <c r="BE71" s="26" t="s">
        <v>181</v>
      </c>
      <c r="BF71" s="26" t="s">
        <v>167</v>
      </c>
      <c r="BH71" s="26" t="s">
        <v>162</v>
      </c>
      <c r="BI71" s="26" t="s">
        <v>182</v>
      </c>
      <c r="BJ71" s="26" t="s">
        <v>1644</v>
      </c>
      <c r="BK71" s="26" t="s">
        <v>264</v>
      </c>
      <c r="BL71" s="26" t="s">
        <v>185</v>
      </c>
      <c r="BM71" s="26" t="s">
        <v>186</v>
      </c>
      <c r="BN71" s="26" t="s">
        <v>162</v>
      </c>
      <c r="BP71" s="26">
        <v>0</v>
      </c>
      <c r="BR71" s="26" t="s">
        <v>695</v>
      </c>
      <c r="BS71" s="26" t="s">
        <v>230</v>
      </c>
      <c r="BT71" s="26" t="s">
        <v>185</v>
      </c>
      <c r="BV71" s="26">
        <v>15.1018</v>
      </c>
      <c r="BW71" s="26">
        <v>0.14</v>
      </c>
      <c r="BZ71" s="26">
        <v>0</v>
      </c>
      <c r="CA71" s="26" t="s">
        <v>189</v>
      </c>
      <c r="CC71" s="26" t="s">
        <v>162</v>
      </c>
      <c r="CD71" s="26">
        <v>0</v>
      </c>
      <c r="CE71" s="26" t="s">
        <v>190</v>
      </c>
      <c r="CF71" s="26" t="s">
        <v>195</v>
      </c>
      <c r="CG71" s="26" t="s">
        <v>1645</v>
      </c>
      <c r="CI71" s="26" t="s">
        <v>1095</v>
      </c>
      <c r="CJ71" s="26">
        <v>107.87</v>
      </c>
      <c r="CK71" s="26">
        <v>0</v>
      </c>
      <c r="CL71" s="26">
        <v>5.39</v>
      </c>
      <c r="CM71" s="26">
        <v>23.38</v>
      </c>
      <c r="CQ71" s="26" t="s">
        <v>437</v>
      </c>
      <c r="CR71" s="26" t="s">
        <v>1646</v>
      </c>
      <c r="CS71" s="26" t="s">
        <v>1647</v>
      </c>
      <c r="CW71" s="26" t="s">
        <v>1648</v>
      </c>
      <c r="CX71" s="26" t="s">
        <v>167</v>
      </c>
      <c r="CY71" s="26" t="s">
        <v>196</v>
      </c>
      <c r="CZ71" s="26">
        <v>0</v>
      </c>
      <c r="DB71" s="26">
        <v>0</v>
      </c>
      <c r="DK71" s="26" t="s">
        <v>150</v>
      </c>
      <c r="DL71" s="26" t="s">
        <v>581</v>
      </c>
      <c r="DM71" s="26" t="s">
        <v>1649</v>
      </c>
      <c r="DN71" s="26" t="s">
        <v>1650</v>
      </c>
      <c r="DO71" s="26" t="s">
        <v>1627</v>
      </c>
      <c r="DP71" s="26" t="s">
        <v>1651</v>
      </c>
      <c r="DR71" s="26" t="s">
        <v>189</v>
      </c>
      <c r="DS71" s="26" t="s">
        <v>189</v>
      </c>
      <c r="DT71" s="26" t="s">
        <v>189</v>
      </c>
      <c r="DU71" s="26" t="s">
        <v>189</v>
      </c>
      <c r="DV71" s="26" t="s">
        <v>203</v>
      </c>
      <c r="DW71" s="26" t="s">
        <v>162</v>
      </c>
      <c r="DX71" s="26" t="s">
        <v>162</v>
      </c>
      <c r="DY71" s="26">
        <v>0</v>
      </c>
      <c r="DZ71" s="26" t="s">
        <v>150</v>
      </c>
      <c r="EH71" s="26" t="s">
        <v>189</v>
      </c>
      <c r="EI71" s="26">
        <v>0.14</v>
      </c>
      <c r="EJ71" s="26">
        <v>15.1018</v>
      </c>
      <c r="EK71" s="26">
        <v>23.38</v>
      </c>
      <c r="EL71" s="26" t="s">
        <v>1652</v>
      </c>
      <c r="EM71" s="26" t="s">
        <v>206</v>
      </c>
      <c r="EN71" s="26" t="s">
        <v>207</v>
      </c>
    </row>
    <row r="72" spans="1:144">
      <c r="A72" s="26" t="s">
        <v>145</v>
      </c>
      <c r="B72" s="26" t="s">
        <v>1452</v>
      </c>
      <c r="C72" s="26" t="s">
        <v>1630</v>
      </c>
      <c r="D72" s="26" t="s">
        <v>148</v>
      </c>
      <c r="E72" s="26" t="s">
        <v>149</v>
      </c>
      <c r="G72" s="26" t="s">
        <v>151</v>
      </c>
      <c r="H72" s="26" t="s">
        <v>152</v>
      </c>
      <c r="I72" s="26" t="s">
        <v>153</v>
      </c>
      <c r="J72" s="26" t="s">
        <v>154</v>
      </c>
      <c r="K72" s="26" t="s">
        <v>1075</v>
      </c>
      <c r="L72" s="26" t="s">
        <v>1252</v>
      </c>
      <c r="M72" s="26" t="s">
        <v>1631</v>
      </c>
      <c r="O72" s="26" t="s">
        <v>1653</v>
      </c>
      <c r="P72" s="26" t="s">
        <v>1654</v>
      </c>
      <c r="S72" s="26" t="s">
        <v>1257</v>
      </c>
      <c r="T72" s="26">
        <v>108.27</v>
      </c>
      <c r="U72" s="26" t="s">
        <v>217</v>
      </c>
      <c r="V72" s="26" t="s">
        <v>150</v>
      </c>
      <c r="Y72" s="26" t="s">
        <v>1636</v>
      </c>
      <c r="Z72" s="26">
        <v>16.66155</v>
      </c>
      <c r="AA72" s="26">
        <v>0</v>
      </c>
      <c r="AB72" s="26">
        <v>0</v>
      </c>
      <c r="AC72" s="26">
        <v>19</v>
      </c>
      <c r="AD72" s="26" t="s">
        <v>1461</v>
      </c>
      <c r="AE72" s="26" t="s">
        <v>1461</v>
      </c>
      <c r="AF72" s="26" t="s">
        <v>1461</v>
      </c>
      <c r="AG72" s="26" t="s">
        <v>1655</v>
      </c>
      <c r="AI72" s="26" t="s">
        <v>167</v>
      </c>
      <c r="AJ72" s="26" t="s">
        <v>168</v>
      </c>
      <c r="AK72" s="26" t="s">
        <v>169</v>
      </c>
      <c r="AM72" s="26" t="s">
        <v>1656</v>
      </c>
      <c r="AN72" s="26" t="s">
        <v>172</v>
      </c>
      <c r="AO72" s="26" t="s">
        <v>776</v>
      </c>
      <c r="AP72" s="26" t="s">
        <v>162</v>
      </c>
      <c r="AQ72" s="26" t="s">
        <v>1640</v>
      </c>
      <c r="AR72" s="26" t="s">
        <v>1641</v>
      </c>
      <c r="AS72" s="26" t="s">
        <v>721</v>
      </c>
      <c r="AU72" s="26" t="s">
        <v>1642</v>
      </c>
      <c r="AV72" s="26" t="s">
        <v>1642</v>
      </c>
      <c r="AX72" s="26" t="s">
        <v>1657</v>
      </c>
      <c r="AY72" s="26" t="s">
        <v>179</v>
      </c>
      <c r="BC72" s="26" t="s">
        <v>1630</v>
      </c>
      <c r="BD72" s="26" t="s">
        <v>180</v>
      </c>
      <c r="BE72" s="26" t="s">
        <v>181</v>
      </c>
      <c r="BF72" s="26" t="s">
        <v>167</v>
      </c>
      <c r="BH72" s="26" t="s">
        <v>162</v>
      </c>
      <c r="BI72" s="26" t="s">
        <v>182</v>
      </c>
      <c r="BJ72" s="26" t="s">
        <v>1658</v>
      </c>
      <c r="BK72" s="26" t="s">
        <v>264</v>
      </c>
      <c r="BL72" s="26" t="s">
        <v>185</v>
      </c>
      <c r="BM72" s="26" t="s">
        <v>186</v>
      </c>
      <c r="BN72" s="26" t="s">
        <v>162</v>
      </c>
      <c r="BP72" s="26">
        <v>0</v>
      </c>
      <c r="BQ72" s="26" t="s">
        <v>776</v>
      </c>
      <c r="BS72" s="26" t="s">
        <v>354</v>
      </c>
      <c r="BT72" s="26" t="s">
        <v>185</v>
      </c>
      <c r="BV72" s="26">
        <v>16.0006</v>
      </c>
      <c r="BW72" s="26">
        <v>0.14</v>
      </c>
      <c r="BZ72" s="26">
        <v>0</v>
      </c>
      <c r="CA72" s="26" t="s">
        <v>189</v>
      </c>
      <c r="CC72" s="26" t="s">
        <v>162</v>
      </c>
      <c r="CD72" s="26">
        <v>0</v>
      </c>
      <c r="CE72" s="26" t="s">
        <v>190</v>
      </c>
      <c r="CF72" s="26" t="s">
        <v>167</v>
      </c>
      <c r="CG72" s="26" t="s">
        <v>1659</v>
      </c>
      <c r="CI72" s="26" t="s">
        <v>1095</v>
      </c>
      <c r="CJ72" s="26">
        <v>114.29</v>
      </c>
      <c r="CK72" s="26">
        <v>0</v>
      </c>
      <c r="CL72" s="26">
        <v>5.71</v>
      </c>
      <c r="CM72" s="26">
        <v>31.58</v>
      </c>
      <c r="CQ72" s="26" t="s">
        <v>437</v>
      </c>
      <c r="CR72" s="26" t="s">
        <v>1646</v>
      </c>
      <c r="CS72" s="26" t="s">
        <v>1647</v>
      </c>
      <c r="CW72" s="26" t="s">
        <v>1660</v>
      </c>
      <c r="CX72" s="26" t="s">
        <v>162</v>
      </c>
      <c r="CY72" s="26" t="s">
        <v>196</v>
      </c>
      <c r="CZ72" s="26">
        <v>0</v>
      </c>
      <c r="DB72" s="26">
        <v>0</v>
      </c>
      <c r="DK72" s="26" t="s">
        <v>150</v>
      </c>
      <c r="DL72" s="26" t="s">
        <v>581</v>
      </c>
      <c r="DM72" s="26" t="s">
        <v>1649</v>
      </c>
      <c r="DN72" s="26" t="s">
        <v>1650</v>
      </c>
      <c r="DO72" s="26" t="s">
        <v>1627</v>
      </c>
      <c r="DP72" s="26" t="s">
        <v>1651</v>
      </c>
      <c r="DR72" s="26" t="s">
        <v>189</v>
      </c>
      <c r="DS72" s="26" t="s">
        <v>189</v>
      </c>
      <c r="DT72" s="26" t="s">
        <v>189</v>
      </c>
      <c r="DU72" s="26" t="s">
        <v>189</v>
      </c>
      <c r="DV72" s="26" t="s">
        <v>203</v>
      </c>
      <c r="DW72" s="26" t="s">
        <v>162</v>
      </c>
      <c r="DX72" s="26" t="s">
        <v>162</v>
      </c>
      <c r="DY72" s="26">
        <v>0</v>
      </c>
      <c r="DZ72" s="26" t="s">
        <v>150</v>
      </c>
      <c r="EH72" s="26" t="s">
        <v>189</v>
      </c>
      <c r="EI72" s="26">
        <v>0.14</v>
      </c>
      <c r="EJ72" s="26">
        <v>16.0006</v>
      </c>
      <c r="EK72" s="26">
        <v>31.58</v>
      </c>
      <c r="EL72" s="26" t="s">
        <v>1661</v>
      </c>
      <c r="EM72" s="26" t="s">
        <v>206</v>
      </c>
      <c r="EN72" s="26" t="s">
        <v>207</v>
      </c>
    </row>
    <row r="73" spans="1:144">
      <c r="A73" s="26" t="s">
        <v>145</v>
      </c>
      <c r="B73" s="26" t="s">
        <v>395</v>
      </c>
      <c r="C73" s="26" t="s">
        <v>1662</v>
      </c>
      <c r="D73" s="26" t="s">
        <v>148</v>
      </c>
      <c r="E73" s="26" t="s">
        <v>149</v>
      </c>
      <c r="G73" s="26" t="s">
        <v>151</v>
      </c>
      <c r="H73" s="26" t="s">
        <v>152</v>
      </c>
      <c r="I73" s="26" t="s">
        <v>153</v>
      </c>
      <c r="J73" s="26" t="s">
        <v>154</v>
      </c>
      <c r="K73" s="26" t="s">
        <v>209</v>
      </c>
      <c r="L73" s="26" t="s">
        <v>210</v>
      </c>
      <c r="M73" s="26" t="s">
        <v>1663</v>
      </c>
      <c r="N73" s="26" t="s">
        <v>1664</v>
      </c>
      <c r="O73" s="26" t="s">
        <v>1665</v>
      </c>
      <c r="P73" s="26" t="s">
        <v>1666</v>
      </c>
      <c r="Q73" s="26" t="s">
        <v>1667</v>
      </c>
      <c r="R73" s="26">
        <v>291.617</v>
      </c>
      <c r="S73" s="26" t="s">
        <v>927</v>
      </c>
      <c r="T73" s="26">
        <v>285.482</v>
      </c>
      <c r="U73" s="26" t="s">
        <v>217</v>
      </c>
      <c r="V73" s="26" t="s">
        <v>150</v>
      </c>
      <c r="Y73" s="26" t="s">
        <v>1668</v>
      </c>
      <c r="Z73" s="26">
        <v>43.74255</v>
      </c>
      <c r="AA73" s="26">
        <v>0</v>
      </c>
      <c r="AB73" s="26">
        <v>0</v>
      </c>
      <c r="AC73" s="26">
        <v>58</v>
      </c>
      <c r="AD73" s="26" t="s">
        <v>1669</v>
      </c>
      <c r="AE73" s="26" t="s">
        <v>1669</v>
      </c>
      <c r="AF73" s="26" t="s">
        <v>1669</v>
      </c>
      <c r="AG73" s="26" t="s">
        <v>1670</v>
      </c>
      <c r="AI73" s="26" t="s">
        <v>167</v>
      </c>
      <c r="AJ73" s="26" t="s">
        <v>168</v>
      </c>
      <c r="AK73" s="26" t="s">
        <v>169</v>
      </c>
      <c r="AL73" s="26" t="s">
        <v>1671</v>
      </c>
      <c r="AM73" s="26" t="s">
        <v>933</v>
      </c>
      <c r="AN73" s="26" t="s">
        <v>172</v>
      </c>
      <c r="AO73" s="26" t="s">
        <v>1189</v>
      </c>
      <c r="AP73" s="26" t="s">
        <v>162</v>
      </c>
      <c r="AQ73" s="26" t="s">
        <v>1672</v>
      </c>
      <c r="AR73" s="26" t="s">
        <v>1673</v>
      </c>
      <c r="AS73" s="26" t="s">
        <v>635</v>
      </c>
      <c r="AU73" s="26" t="s">
        <v>1674</v>
      </c>
      <c r="AV73" s="26" t="s">
        <v>1674</v>
      </c>
      <c r="AX73" s="26" t="s">
        <v>1675</v>
      </c>
      <c r="AY73" s="26" t="s">
        <v>179</v>
      </c>
      <c r="BC73" s="26" t="s">
        <v>1662</v>
      </c>
      <c r="BD73" s="26" t="s">
        <v>180</v>
      </c>
      <c r="BE73" s="26" t="s">
        <v>181</v>
      </c>
      <c r="BF73" s="26" t="s">
        <v>167</v>
      </c>
      <c r="BH73" s="26" t="s">
        <v>162</v>
      </c>
      <c r="BI73" s="26" t="s">
        <v>182</v>
      </c>
      <c r="BJ73" s="26" t="s">
        <v>1676</v>
      </c>
      <c r="BK73" s="26" t="s">
        <v>184</v>
      </c>
      <c r="BL73" s="26" t="s">
        <v>185</v>
      </c>
      <c r="BM73" s="26" t="s">
        <v>186</v>
      </c>
      <c r="BN73" s="26" t="s">
        <v>162</v>
      </c>
      <c r="BP73" s="26">
        <v>0</v>
      </c>
      <c r="BQ73" s="26" t="s">
        <v>666</v>
      </c>
      <c r="BS73" s="26" t="s">
        <v>230</v>
      </c>
      <c r="BT73" s="26" t="s">
        <v>185</v>
      </c>
      <c r="BV73" s="26">
        <v>40.8268</v>
      </c>
      <c r="BW73" s="26">
        <v>0.14</v>
      </c>
      <c r="BZ73" s="26">
        <v>0</v>
      </c>
      <c r="CA73" s="26" t="s">
        <v>189</v>
      </c>
      <c r="CC73" s="26" t="s">
        <v>162</v>
      </c>
      <c r="CD73" s="26">
        <v>0</v>
      </c>
      <c r="CE73" s="26" t="s">
        <v>190</v>
      </c>
      <c r="CF73" s="26" t="s">
        <v>167</v>
      </c>
      <c r="CG73" s="26" t="s">
        <v>1677</v>
      </c>
      <c r="CI73" s="26" t="s">
        <v>232</v>
      </c>
      <c r="CJ73" s="26">
        <v>291.62</v>
      </c>
      <c r="CK73" s="26">
        <v>0</v>
      </c>
      <c r="CL73" s="26">
        <v>14.58</v>
      </c>
      <c r="CM73" s="26">
        <v>47.01</v>
      </c>
      <c r="CQ73" s="26" t="s">
        <v>437</v>
      </c>
      <c r="CR73" s="26" t="s">
        <v>1678</v>
      </c>
      <c r="CS73" s="26" t="s">
        <v>1679</v>
      </c>
      <c r="CW73" s="26" t="s">
        <v>1680</v>
      </c>
      <c r="CX73" s="26" t="s">
        <v>167</v>
      </c>
      <c r="CY73" s="26" t="s">
        <v>196</v>
      </c>
      <c r="CZ73" s="26">
        <v>0</v>
      </c>
      <c r="DB73" s="26">
        <v>0</v>
      </c>
      <c r="DK73" s="26" t="s">
        <v>150</v>
      </c>
      <c r="DL73" s="26" t="s">
        <v>1681</v>
      </c>
      <c r="DM73" s="26" t="s">
        <v>1682</v>
      </c>
      <c r="DN73" s="26" t="s">
        <v>1683</v>
      </c>
      <c r="DO73" s="26" t="s">
        <v>1684</v>
      </c>
      <c r="DP73" s="26" t="s">
        <v>1685</v>
      </c>
      <c r="DR73" s="26" t="s">
        <v>189</v>
      </c>
      <c r="DS73" s="26" t="s">
        <v>189</v>
      </c>
      <c r="DT73" s="26" t="s">
        <v>189</v>
      </c>
      <c r="DU73" s="26" t="s">
        <v>189</v>
      </c>
      <c r="DV73" s="26" t="s">
        <v>203</v>
      </c>
      <c r="DW73" s="26" t="s">
        <v>162</v>
      </c>
      <c r="DX73" s="26" t="s">
        <v>162</v>
      </c>
      <c r="DY73" s="26">
        <v>0</v>
      </c>
      <c r="DZ73" s="26" t="s">
        <v>150</v>
      </c>
      <c r="EH73" s="26" t="s">
        <v>189</v>
      </c>
      <c r="EI73" s="26">
        <v>0.14</v>
      </c>
      <c r="EJ73" s="26">
        <v>40.8268</v>
      </c>
      <c r="EK73" s="26">
        <v>47.01</v>
      </c>
      <c r="EL73" s="26" t="s">
        <v>1686</v>
      </c>
      <c r="EM73" s="26" t="s">
        <v>206</v>
      </c>
      <c r="EN73" s="26" t="s">
        <v>207</v>
      </c>
    </row>
    <row r="74" spans="1:144">
      <c r="A74" s="26" t="s">
        <v>145</v>
      </c>
      <c r="B74" s="26" t="s">
        <v>395</v>
      </c>
      <c r="C74" s="26" t="s">
        <v>1687</v>
      </c>
      <c r="D74" s="26" t="s">
        <v>148</v>
      </c>
      <c r="E74" s="26" t="s">
        <v>149</v>
      </c>
      <c r="F74" s="26" t="s">
        <v>152</v>
      </c>
      <c r="G74" s="26" t="s">
        <v>151</v>
      </c>
      <c r="H74" s="26" t="s">
        <v>152</v>
      </c>
      <c r="I74" s="26" t="s">
        <v>153</v>
      </c>
      <c r="J74" s="26" t="s">
        <v>154</v>
      </c>
      <c r="K74" s="26" t="s">
        <v>989</v>
      </c>
      <c r="L74" s="26" t="s">
        <v>1367</v>
      </c>
      <c r="M74" s="26" t="s">
        <v>1688</v>
      </c>
      <c r="N74" s="26" t="s">
        <v>1689</v>
      </c>
      <c r="O74" s="26" t="s">
        <v>1690</v>
      </c>
      <c r="P74" s="26" t="s">
        <v>1691</v>
      </c>
      <c r="Q74" s="26" t="s">
        <v>1184</v>
      </c>
      <c r="R74" s="26">
        <v>147.649</v>
      </c>
      <c r="S74" s="26" t="s">
        <v>800</v>
      </c>
      <c r="T74" s="26">
        <v>141.514</v>
      </c>
      <c r="U74" s="26" t="s">
        <v>217</v>
      </c>
      <c r="V74" s="26" t="s">
        <v>150</v>
      </c>
      <c r="Y74" s="26" t="s">
        <v>1185</v>
      </c>
      <c r="Z74" s="26">
        <v>22.14735</v>
      </c>
      <c r="AA74" s="26">
        <v>0</v>
      </c>
      <c r="AB74" s="26">
        <v>0</v>
      </c>
      <c r="AC74" s="26">
        <v>27</v>
      </c>
      <c r="AD74" s="26" t="s">
        <v>1692</v>
      </c>
      <c r="AE74" s="26" t="s">
        <v>1692</v>
      </c>
      <c r="AF74" s="26" t="s">
        <v>1692</v>
      </c>
      <c r="AG74" s="26" t="s">
        <v>1693</v>
      </c>
      <c r="AI74" s="26" t="s">
        <v>167</v>
      </c>
      <c r="AJ74" s="26" t="s">
        <v>168</v>
      </c>
      <c r="AK74" s="26" t="s">
        <v>169</v>
      </c>
      <c r="AL74" s="26" t="s">
        <v>1377</v>
      </c>
      <c r="AM74" s="26" t="s">
        <v>294</v>
      </c>
      <c r="AN74" s="26" t="s">
        <v>172</v>
      </c>
      <c r="AO74" s="26" t="s">
        <v>1694</v>
      </c>
      <c r="AP74" s="26" t="s">
        <v>167</v>
      </c>
      <c r="AQ74" s="26" t="s">
        <v>1695</v>
      </c>
      <c r="AR74" s="26" t="s">
        <v>1696</v>
      </c>
      <c r="AS74" s="26" t="s">
        <v>1697</v>
      </c>
      <c r="AT74" s="26" t="s">
        <v>1698</v>
      </c>
      <c r="AU74" s="26" t="s">
        <v>1699</v>
      </c>
      <c r="AV74" s="26" t="s">
        <v>1699</v>
      </c>
      <c r="AX74" s="26" t="s">
        <v>1700</v>
      </c>
      <c r="AY74" s="26" t="s">
        <v>179</v>
      </c>
      <c r="BC74" s="26" t="s">
        <v>1687</v>
      </c>
      <c r="BD74" s="26" t="s">
        <v>180</v>
      </c>
      <c r="BE74" s="26" t="s">
        <v>1007</v>
      </c>
      <c r="BF74" s="26" t="s">
        <v>167</v>
      </c>
      <c r="BH74" s="26" t="s">
        <v>162</v>
      </c>
      <c r="BI74" s="26" t="s">
        <v>182</v>
      </c>
      <c r="BJ74" s="26" t="s">
        <v>1701</v>
      </c>
      <c r="BK74" s="26" t="s">
        <v>184</v>
      </c>
      <c r="BL74" s="26" t="s">
        <v>185</v>
      </c>
      <c r="BM74" s="26" t="s">
        <v>186</v>
      </c>
      <c r="BN74" s="26" t="s">
        <v>162</v>
      </c>
      <c r="BP74" s="26">
        <v>0</v>
      </c>
      <c r="BQ74" s="26" t="s">
        <v>1702</v>
      </c>
      <c r="BS74" s="26" t="s">
        <v>188</v>
      </c>
      <c r="BT74" s="26" t="s">
        <v>185</v>
      </c>
      <c r="BV74" s="26">
        <v>8.859</v>
      </c>
      <c r="BW74" s="26">
        <v>0.06</v>
      </c>
      <c r="BZ74" s="26">
        <v>0</v>
      </c>
      <c r="CA74" s="26" t="s">
        <v>189</v>
      </c>
      <c r="CC74" s="26" t="s">
        <v>162</v>
      </c>
      <c r="CD74" s="26">
        <v>0</v>
      </c>
      <c r="CE74" s="26" t="s">
        <v>190</v>
      </c>
      <c r="CF74" s="26" t="s">
        <v>167</v>
      </c>
      <c r="CG74" s="26" t="s">
        <v>1703</v>
      </c>
      <c r="CI74" s="26" t="s">
        <v>1009</v>
      </c>
      <c r="CJ74" s="26">
        <v>147.65</v>
      </c>
      <c r="CK74" s="26">
        <v>0</v>
      </c>
      <c r="CL74" s="26">
        <v>7.38</v>
      </c>
      <c r="CM74" s="26">
        <v>29.03</v>
      </c>
      <c r="CQ74" s="26" t="s">
        <v>233</v>
      </c>
      <c r="CR74" s="26" t="s">
        <v>1388</v>
      </c>
      <c r="CS74" s="26" t="s">
        <v>1704</v>
      </c>
      <c r="CW74" s="26" t="s">
        <v>1705</v>
      </c>
      <c r="CX74" s="26" t="s">
        <v>195</v>
      </c>
      <c r="CY74" s="26" t="s">
        <v>196</v>
      </c>
      <c r="CZ74" s="26">
        <v>0</v>
      </c>
      <c r="DB74" s="26">
        <v>0</v>
      </c>
      <c r="DK74" s="26" t="s">
        <v>150</v>
      </c>
      <c r="DL74" s="26" t="s">
        <v>1706</v>
      </c>
      <c r="DM74" s="26" t="s">
        <v>1707</v>
      </c>
      <c r="DO74" s="26" t="s">
        <v>1708</v>
      </c>
      <c r="DR74" s="26" t="s">
        <v>189</v>
      </c>
      <c r="DS74" s="26" t="s">
        <v>189</v>
      </c>
      <c r="DT74" s="26" t="s">
        <v>189</v>
      </c>
      <c r="DU74" s="26" t="s">
        <v>189</v>
      </c>
      <c r="DV74" s="26" t="s">
        <v>203</v>
      </c>
      <c r="DW74" s="26" t="s">
        <v>162</v>
      </c>
      <c r="DX74" s="26" t="s">
        <v>162</v>
      </c>
      <c r="DY74" s="26">
        <v>0</v>
      </c>
      <c r="DZ74" s="26" t="s">
        <v>150</v>
      </c>
      <c r="EA74" s="26" t="s">
        <v>1396</v>
      </c>
      <c r="EB74" s="26" t="s">
        <v>1397</v>
      </c>
      <c r="EH74" s="26" t="s">
        <v>189</v>
      </c>
      <c r="EI74" s="26">
        <v>0.06</v>
      </c>
      <c r="EJ74" s="26">
        <v>8.859</v>
      </c>
      <c r="EK74" s="26">
        <v>29.03</v>
      </c>
      <c r="EL74" s="26" t="s">
        <v>1709</v>
      </c>
      <c r="EM74" s="26" t="s">
        <v>1710</v>
      </c>
      <c r="EN74" s="26" t="s">
        <v>207</v>
      </c>
    </row>
    <row r="75" spans="1:144">
      <c r="A75" s="26" t="s">
        <v>145</v>
      </c>
      <c r="B75" s="26" t="s">
        <v>395</v>
      </c>
      <c r="C75" s="26" t="s">
        <v>1711</v>
      </c>
      <c r="D75" s="26" t="s">
        <v>148</v>
      </c>
      <c r="E75" s="26" t="s">
        <v>149</v>
      </c>
      <c r="F75" s="26" t="s">
        <v>152</v>
      </c>
      <c r="G75" s="26" t="s">
        <v>151</v>
      </c>
      <c r="H75" s="26" t="s">
        <v>152</v>
      </c>
      <c r="I75" s="26" t="s">
        <v>153</v>
      </c>
      <c r="J75" s="26" t="s">
        <v>154</v>
      </c>
      <c r="K75" s="26" t="s">
        <v>155</v>
      </c>
      <c r="L75" s="26" t="s">
        <v>1109</v>
      </c>
      <c r="M75" s="26" t="s">
        <v>1712</v>
      </c>
      <c r="N75" s="26" t="s">
        <v>1713</v>
      </c>
      <c r="O75" s="26" t="s">
        <v>1714</v>
      </c>
      <c r="P75" s="26" t="s">
        <v>1715</v>
      </c>
      <c r="Q75" s="26" t="s">
        <v>1716</v>
      </c>
      <c r="R75" s="26">
        <v>232.721</v>
      </c>
      <c r="S75" s="26" t="s">
        <v>653</v>
      </c>
      <c r="T75" s="26">
        <v>226.586</v>
      </c>
      <c r="U75" s="26" t="s">
        <v>217</v>
      </c>
      <c r="V75" s="26" t="s">
        <v>150</v>
      </c>
      <c r="Y75" s="26" t="s">
        <v>1717</v>
      </c>
      <c r="Z75" s="26">
        <v>34.90815</v>
      </c>
      <c r="AA75" s="26">
        <v>0</v>
      </c>
      <c r="AB75" s="26">
        <v>0</v>
      </c>
      <c r="AC75" s="26">
        <v>41</v>
      </c>
      <c r="AD75" s="26" t="s">
        <v>1718</v>
      </c>
      <c r="AE75" s="26" t="s">
        <v>1718</v>
      </c>
      <c r="AF75" s="26" t="s">
        <v>1718</v>
      </c>
      <c r="AG75" s="26" t="s">
        <v>1719</v>
      </c>
      <c r="AI75" s="26" t="s">
        <v>167</v>
      </c>
      <c r="AJ75" s="26" t="s">
        <v>168</v>
      </c>
      <c r="AK75" s="26" t="s">
        <v>169</v>
      </c>
      <c r="AL75" s="26" t="s">
        <v>1720</v>
      </c>
      <c r="AM75" s="26" t="s">
        <v>1721</v>
      </c>
      <c r="AN75" s="26" t="s">
        <v>172</v>
      </c>
      <c r="AO75" s="26" t="s">
        <v>257</v>
      </c>
      <c r="AP75" s="26" t="s">
        <v>162</v>
      </c>
      <c r="AQ75" s="26" t="s">
        <v>1722</v>
      </c>
      <c r="AR75" s="26" t="s">
        <v>1723</v>
      </c>
      <c r="AS75" s="26" t="s">
        <v>1439</v>
      </c>
      <c r="AU75" s="26" t="s">
        <v>1724</v>
      </c>
      <c r="AV75" s="26" t="s">
        <v>1724</v>
      </c>
      <c r="AX75" s="26" t="s">
        <v>1121</v>
      </c>
      <c r="AY75" s="26" t="s">
        <v>179</v>
      </c>
      <c r="BC75" s="26" t="s">
        <v>1711</v>
      </c>
      <c r="BD75" s="26" t="s">
        <v>180</v>
      </c>
      <c r="BE75" s="26" t="s">
        <v>181</v>
      </c>
      <c r="BF75" s="26" t="s">
        <v>167</v>
      </c>
      <c r="BH75" s="26" t="s">
        <v>162</v>
      </c>
      <c r="BI75" s="26" t="s">
        <v>182</v>
      </c>
      <c r="BJ75" s="26" t="s">
        <v>1725</v>
      </c>
      <c r="BK75" s="26" t="s">
        <v>184</v>
      </c>
      <c r="BL75" s="26" t="s">
        <v>185</v>
      </c>
      <c r="BM75" s="26" t="s">
        <v>186</v>
      </c>
      <c r="BN75" s="26" t="s">
        <v>162</v>
      </c>
      <c r="BP75" s="26">
        <v>0</v>
      </c>
      <c r="BQ75" s="26" t="s">
        <v>265</v>
      </c>
      <c r="BS75" s="26" t="s">
        <v>188</v>
      </c>
      <c r="BT75" s="26" t="s">
        <v>185</v>
      </c>
      <c r="BV75" s="26">
        <v>37.2352</v>
      </c>
      <c r="BW75" s="26">
        <v>0.16</v>
      </c>
      <c r="BZ75" s="26">
        <v>0</v>
      </c>
      <c r="CA75" s="26" t="s">
        <v>189</v>
      </c>
      <c r="CC75" s="26" t="s">
        <v>162</v>
      </c>
      <c r="CD75" s="26">
        <v>0</v>
      </c>
      <c r="CE75" s="26" t="s">
        <v>190</v>
      </c>
      <c r="CF75" s="26" t="s">
        <v>167</v>
      </c>
      <c r="CG75" s="26" t="s">
        <v>1726</v>
      </c>
      <c r="CI75" s="26" t="s">
        <v>191</v>
      </c>
      <c r="CJ75" s="26">
        <v>232.72</v>
      </c>
      <c r="CK75" s="26">
        <v>0</v>
      </c>
      <c r="CL75" s="26">
        <v>11.64</v>
      </c>
      <c r="CM75" s="26">
        <v>39.43</v>
      </c>
      <c r="CQ75" s="26" t="s">
        <v>605</v>
      </c>
      <c r="CR75" s="26" t="s">
        <v>1727</v>
      </c>
      <c r="CS75" s="26" t="s">
        <v>1728</v>
      </c>
      <c r="CW75" s="26" t="s">
        <v>1126</v>
      </c>
      <c r="CX75" s="26" t="s">
        <v>167</v>
      </c>
      <c r="CY75" s="26" t="s">
        <v>196</v>
      </c>
      <c r="CZ75" s="26">
        <v>0</v>
      </c>
      <c r="DB75" s="26">
        <v>0</v>
      </c>
      <c r="DK75" s="26" t="s">
        <v>150</v>
      </c>
      <c r="DL75" s="26" t="s">
        <v>237</v>
      </c>
      <c r="DM75" s="26" t="s">
        <v>1729</v>
      </c>
      <c r="DN75" s="26" t="s">
        <v>1730</v>
      </c>
      <c r="DO75" s="26" t="s">
        <v>1708</v>
      </c>
      <c r="DP75" s="26" t="s">
        <v>1731</v>
      </c>
      <c r="DR75" s="26" t="s">
        <v>189</v>
      </c>
      <c r="DS75" s="26" t="s">
        <v>189</v>
      </c>
      <c r="DT75" s="26" t="s">
        <v>189</v>
      </c>
      <c r="DU75" s="26" t="s">
        <v>189</v>
      </c>
      <c r="DV75" s="26" t="s">
        <v>203</v>
      </c>
      <c r="DW75" s="26" t="s">
        <v>162</v>
      </c>
      <c r="DX75" s="26" t="s">
        <v>162</v>
      </c>
      <c r="DY75" s="26">
        <v>0</v>
      </c>
      <c r="DZ75" s="26" t="s">
        <v>150</v>
      </c>
      <c r="EH75" s="26" t="s">
        <v>189</v>
      </c>
      <c r="EI75" s="26">
        <v>0.16</v>
      </c>
      <c r="EJ75" s="26">
        <v>37.2352</v>
      </c>
      <c r="EK75" s="26">
        <v>39.43</v>
      </c>
      <c r="EL75" s="26" t="s">
        <v>1732</v>
      </c>
      <c r="EM75" s="26" t="s">
        <v>206</v>
      </c>
      <c r="EN75" s="26" t="s">
        <v>207</v>
      </c>
    </row>
    <row r="76" spans="1:144">
      <c r="A76" s="26" t="s">
        <v>145</v>
      </c>
      <c r="B76" s="26" t="s">
        <v>395</v>
      </c>
      <c r="C76" s="26" t="s">
        <v>1733</v>
      </c>
      <c r="D76" s="26" t="s">
        <v>148</v>
      </c>
      <c r="E76" s="26" t="s">
        <v>149</v>
      </c>
      <c r="F76" s="26" t="s">
        <v>152</v>
      </c>
      <c r="G76" s="26" t="s">
        <v>151</v>
      </c>
      <c r="H76" s="26" t="s">
        <v>152</v>
      </c>
      <c r="I76" s="26" t="s">
        <v>153</v>
      </c>
      <c r="J76" s="26" t="s">
        <v>154</v>
      </c>
      <c r="K76" s="26" t="s">
        <v>209</v>
      </c>
      <c r="L76" s="26" t="s">
        <v>210</v>
      </c>
      <c r="M76" s="26" t="s">
        <v>1734</v>
      </c>
      <c r="N76" s="26" t="s">
        <v>1735</v>
      </c>
      <c r="O76" s="26" t="s">
        <v>1736</v>
      </c>
      <c r="P76" s="26" t="s">
        <v>1737</v>
      </c>
      <c r="Q76" s="26" t="s">
        <v>1738</v>
      </c>
      <c r="R76" s="26">
        <v>305.523</v>
      </c>
      <c r="S76" s="26" t="s">
        <v>1739</v>
      </c>
      <c r="T76" s="26">
        <v>299.388</v>
      </c>
      <c r="U76" s="26" t="s">
        <v>217</v>
      </c>
      <c r="V76" s="26" t="s">
        <v>150</v>
      </c>
      <c r="Y76" s="26" t="s">
        <v>1740</v>
      </c>
      <c r="Z76" s="26">
        <v>45.82845</v>
      </c>
      <c r="AA76" s="26">
        <v>0</v>
      </c>
      <c r="AB76" s="26">
        <v>0</v>
      </c>
      <c r="AC76" s="26">
        <v>55</v>
      </c>
      <c r="AD76" s="26" t="s">
        <v>1741</v>
      </c>
      <c r="AE76" s="26" t="s">
        <v>1741</v>
      </c>
      <c r="AF76" s="26" t="s">
        <v>1741</v>
      </c>
      <c r="AG76" s="26" t="s">
        <v>1742</v>
      </c>
      <c r="AI76" s="26" t="s">
        <v>167</v>
      </c>
      <c r="AJ76" s="26" t="s">
        <v>168</v>
      </c>
      <c r="AK76" s="26" t="s">
        <v>169</v>
      </c>
      <c r="AL76" s="26" t="s">
        <v>1743</v>
      </c>
      <c r="AM76" s="26" t="s">
        <v>222</v>
      </c>
      <c r="AN76" s="26" t="s">
        <v>172</v>
      </c>
      <c r="AO76" s="26" t="s">
        <v>223</v>
      </c>
      <c r="AP76" s="26" t="s">
        <v>162</v>
      </c>
      <c r="AQ76" s="26" t="s">
        <v>224</v>
      </c>
      <c r="AR76" s="26" t="s">
        <v>1744</v>
      </c>
      <c r="AS76" s="26" t="s">
        <v>1439</v>
      </c>
      <c r="AU76" s="26" t="s">
        <v>1745</v>
      </c>
      <c r="AV76" s="26" t="s">
        <v>1745</v>
      </c>
      <c r="AX76" s="26" t="s">
        <v>1746</v>
      </c>
      <c r="AY76" s="26" t="s">
        <v>179</v>
      </c>
      <c r="BC76" s="26" t="s">
        <v>1733</v>
      </c>
      <c r="BD76" s="26" t="s">
        <v>180</v>
      </c>
      <c r="BE76" s="26" t="s">
        <v>181</v>
      </c>
      <c r="BF76" s="26" t="s">
        <v>167</v>
      </c>
      <c r="BH76" s="26" t="s">
        <v>162</v>
      </c>
      <c r="BI76" s="26" t="s">
        <v>182</v>
      </c>
      <c r="BJ76" s="26" t="s">
        <v>1747</v>
      </c>
      <c r="BK76" s="26" t="s">
        <v>184</v>
      </c>
      <c r="BL76" s="26" t="s">
        <v>185</v>
      </c>
      <c r="BM76" s="26" t="s">
        <v>186</v>
      </c>
      <c r="BN76" s="26" t="s">
        <v>162</v>
      </c>
      <c r="BP76" s="26">
        <v>0</v>
      </c>
      <c r="BQ76" s="26" t="s">
        <v>223</v>
      </c>
      <c r="BS76" s="26" t="s">
        <v>230</v>
      </c>
      <c r="BT76" s="26" t="s">
        <v>185</v>
      </c>
      <c r="BV76" s="26">
        <v>42.7728</v>
      </c>
      <c r="BW76" s="26">
        <v>0.14</v>
      </c>
      <c r="BZ76" s="26">
        <v>0</v>
      </c>
      <c r="CA76" s="26" t="s">
        <v>189</v>
      </c>
      <c r="CC76" s="26" t="s">
        <v>162</v>
      </c>
      <c r="CD76" s="26">
        <v>0</v>
      </c>
      <c r="CE76" s="26" t="s">
        <v>190</v>
      </c>
      <c r="CF76" s="26" t="s">
        <v>167</v>
      </c>
      <c r="CG76" s="26" t="s">
        <v>1748</v>
      </c>
      <c r="CI76" s="26" t="s">
        <v>232</v>
      </c>
      <c r="CJ76" s="26">
        <v>305.52</v>
      </c>
      <c r="CK76" s="26">
        <v>0</v>
      </c>
      <c r="CL76" s="26">
        <v>15.28</v>
      </c>
      <c r="CM76" s="26">
        <v>43.85</v>
      </c>
      <c r="CQ76" s="26" t="s">
        <v>605</v>
      </c>
      <c r="CR76" s="26" t="s">
        <v>1749</v>
      </c>
      <c r="CS76" s="26" t="s">
        <v>1750</v>
      </c>
      <c r="CW76" s="26" t="s">
        <v>1751</v>
      </c>
      <c r="CX76" s="26" t="s">
        <v>195</v>
      </c>
      <c r="CY76" s="26" t="s">
        <v>196</v>
      </c>
      <c r="CZ76" s="26">
        <v>0</v>
      </c>
      <c r="DB76" s="26">
        <v>0</v>
      </c>
      <c r="DK76" s="26" t="s">
        <v>150</v>
      </c>
      <c r="DL76" s="26" t="s">
        <v>237</v>
      </c>
      <c r="DM76" s="26" t="s">
        <v>1752</v>
      </c>
      <c r="DN76" s="26" t="s">
        <v>1753</v>
      </c>
      <c r="DO76" s="26" t="s">
        <v>1754</v>
      </c>
      <c r="DP76" s="26" t="s">
        <v>1755</v>
      </c>
      <c r="DR76" s="26" t="s">
        <v>189</v>
      </c>
      <c r="DS76" s="26" t="s">
        <v>189</v>
      </c>
      <c r="DT76" s="26" t="s">
        <v>189</v>
      </c>
      <c r="DU76" s="26" t="s">
        <v>189</v>
      </c>
      <c r="DV76" s="26" t="s">
        <v>203</v>
      </c>
      <c r="DW76" s="26" t="s">
        <v>162</v>
      </c>
      <c r="DX76" s="26" t="s">
        <v>162</v>
      </c>
      <c r="DY76" s="26">
        <v>0</v>
      </c>
      <c r="DZ76" s="26" t="s">
        <v>150</v>
      </c>
      <c r="EH76" s="26" t="s">
        <v>189</v>
      </c>
      <c r="EI76" s="26">
        <v>0.14</v>
      </c>
      <c r="EJ76" s="26">
        <v>42.7728</v>
      </c>
      <c r="EK76" s="26">
        <v>43.85</v>
      </c>
      <c r="EL76" s="26" t="s">
        <v>1756</v>
      </c>
      <c r="EM76" s="26" t="s">
        <v>206</v>
      </c>
      <c r="EN76" s="26" t="s">
        <v>207</v>
      </c>
    </row>
    <row r="77" spans="1:144">
      <c r="A77" s="26" t="s">
        <v>145</v>
      </c>
      <c r="B77" s="26" t="s">
        <v>1452</v>
      </c>
      <c r="C77" s="26" t="s">
        <v>1757</v>
      </c>
      <c r="D77" s="26" t="s">
        <v>148</v>
      </c>
      <c r="E77" s="26" t="s">
        <v>149</v>
      </c>
      <c r="F77" s="26" t="s">
        <v>152</v>
      </c>
      <c r="G77" s="26" t="s">
        <v>151</v>
      </c>
      <c r="H77" s="26" t="s">
        <v>152</v>
      </c>
      <c r="I77" s="26" t="s">
        <v>153</v>
      </c>
      <c r="J77" s="26" t="s">
        <v>154</v>
      </c>
      <c r="K77" s="26" t="s">
        <v>209</v>
      </c>
      <c r="L77" s="26" t="s">
        <v>210</v>
      </c>
      <c r="M77" s="26" t="s">
        <v>1758</v>
      </c>
      <c r="N77" s="26" t="s">
        <v>1759</v>
      </c>
      <c r="O77" s="26" t="s">
        <v>1760</v>
      </c>
      <c r="P77" s="26" t="s">
        <v>1761</v>
      </c>
      <c r="Q77" s="26" t="s">
        <v>1762</v>
      </c>
      <c r="R77" s="26">
        <v>472.779</v>
      </c>
      <c r="S77" s="26" t="s">
        <v>873</v>
      </c>
      <c r="T77" s="26">
        <v>153.984</v>
      </c>
      <c r="U77" s="26" t="s">
        <v>217</v>
      </c>
      <c r="V77" s="26" t="s">
        <v>150</v>
      </c>
      <c r="Y77" s="26" t="s">
        <v>1763</v>
      </c>
      <c r="Z77" s="26">
        <v>35.45642</v>
      </c>
      <c r="AA77" s="26">
        <v>0</v>
      </c>
      <c r="AB77" s="26">
        <v>0</v>
      </c>
      <c r="AC77" s="26">
        <v>22</v>
      </c>
      <c r="AD77" s="26" t="s">
        <v>594</v>
      </c>
      <c r="AE77" s="26" t="s">
        <v>594</v>
      </c>
      <c r="AF77" s="26" t="s">
        <v>594</v>
      </c>
      <c r="AG77" s="26" t="s">
        <v>1764</v>
      </c>
      <c r="AI77" s="26" t="s">
        <v>167</v>
      </c>
      <c r="AJ77" s="26" t="s">
        <v>168</v>
      </c>
      <c r="AK77" s="26" t="s">
        <v>169</v>
      </c>
      <c r="AL77" s="26" t="s">
        <v>1765</v>
      </c>
      <c r="AM77" s="26" t="s">
        <v>278</v>
      </c>
      <c r="AN77" s="26" t="s">
        <v>172</v>
      </c>
      <c r="AO77" s="26" t="s">
        <v>1189</v>
      </c>
      <c r="AP77" s="26" t="s">
        <v>167</v>
      </c>
      <c r="AQ77" s="26" t="s">
        <v>1766</v>
      </c>
      <c r="AR77" s="26" t="s">
        <v>1767</v>
      </c>
      <c r="AS77" s="26" t="s">
        <v>937</v>
      </c>
      <c r="AU77" s="26" t="s">
        <v>1768</v>
      </c>
      <c r="AV77" s="26" t="s">
        <v>1768</v>
      </c>
      <c r="AX77" s="26" t="s">
        <v>1769</v>
      </c>
      <c r="AY77" s="26" t="s">
        <v>179</v>
      </c>
      <c r="BC77" s="26" t="s">
        <v>1757</v>
      </c>
      <c r="BD77" s="26" t="s">
        <v>180</v>
      </c>
      <c r="BE77" s="26" t="s">
        <v>181</v>
      </c>
      <c r="BF77" s="26" t="s">
        <v>167</v>
      </c>
      <c r="BH77" s="26" t="s">
        <v>162</v>
      </c>
      <c r="BI77" s="26" t="s">
        <v>182</v>
      </c>
      <c r="BJ77" s="26" t="s">
        <v>1770</v>
      </c>
      <c r="BK77" s="26" t="s">
        <v>264</v>
      </c>
      <c r="BL77" s="26" t="s">
        <v>185</v>
      </c>
      <c r="BM77" s="26" t="s">
        <v>186</v>
      </c>
      <c r="BN77" s="26" t="s">
        <v>162</v>
      </c>
      <c r="BP77" s="26">
        <v>0</v>
      </c>
      <c r="BQ77" s="26" t="s">
        <v>666</v>
      </c>
      <c r="BS77" s="26" t="s">
        <v>230</v>
      </c>
      <c r="BT77" s="26" t="s">
        <v>185</v>
      </c>
      <c r="BV77" s="26">
        <v>22.4</v>
      </c>
      <c r="BW77" s="26">
        <v>0.14</v>
      </c>
      <c r="BZ77" s="26">
        <v>0</v>
      </c>
      <c r="CA77" s="26" t="s">
        <v>189</v>
      </c>
      <c r="CC77" s="26" t="s">
        <v>162</v>
      </c>
      <c r="CD77" s="26">
        <v>0</v>
      </c>
      <c r="CE77" s="26" t="s">
        <v>190</v>
      </c>
      <c r="CF77" s="26" t="s">
        <v>167</v>
      </c>
      <c r="CG77" s="26" t="s">
        <v>1771</v>
      </c>
      <c r="CI77" s="26" t="s">
        <v>232</v>
      </c>
      <c r="CJ77" s="26">
        <v>160</v>
      </c>
      <c r="CK77" s="26">
        <v>0</v>
      </c>
      <c r="CL77" s="26">
        <v>8</v>
      </c>
      <c r="CM77" s="26">
        <v>26.38</v>
      </c>
      <c r="CQ77" s="26" t="s">
        <v>437</v>
      </c>
      <c r="CR77" s="26" t="s">
        <v>1772</v>
      </c>
      <c r="CS77" s="26" t="s">
        <v>1773</v>
      </c>
      <c r="CW77" s="26" t="s">
        <v>1774</v>
      </c>
      <c r="CX77" s="26" t="s">
        <v>162</v>
      </c>
      <c r="CY77" s="26" t="s">
        <v>196</v>
      </c>
      <c r="CZ77" s="26">
        <v>0</v>
      </c>
      <c r="DA77" s="26" t="s">
        <v>150</v>
      </c>
      <c r="DB77" s="26">
        <v>0</v>
      </c>
      <c r="DK77" s="26" t="s">
        <v>150</v>
      </c>
      <c r="DL77" s="26" t="s">
        <v>390</v>
      </c>
      <c r="DM77" s="26" t="s">
        <v>1775</v>
      </c>
      <c r="DN77" s="26" t="s">
        <v>1776</v>
      </c>
      <c r="DO77" s="26" t="s">
        <v>1777</v>
      </c>
      <c r="DP77" s="26" t="s">
        <v>1778</v>
      </c>
      <c r="DR77" s="26" t="s">
        <v>189</v>
      </c>
      <c r="DS77" s="26" t="s">
        <v>189</v>
      </c>
      <c r="DT77" s="26" t="s">
        <v>189</v>
      </c>
      <c r="DU77" s="26" t="s">
        <v>189</v>
      </c>
      <c r="DV77" s="26" t="s">
        <v>203</v>
      </c>
      <c r="DW77" s="26" t="s">
        <v>162</v>
      </c>
      <c r="DX77" s="26" t="s">
        <v>162</v>
      </c>
      <c r="DY77" s="26">
        <v>0</v>
      </c>
      <c r="DZ77" s="26" t="s">
        <v>150</v>
      </c>
      <c r="EH77" s="26" t="s">
        <v>189</v>
      </c>
      <c r="EI77" s="26">
        <v>0.14</v>
      </c>
      <c r="EJ77" s="26">
        <v>22.4</v>
      </c>
      <c r="EK77" s="26">
        <v>26.38</v>
      </c>
      <c r="EL77" s="26" t="s">
        <v>1779</v>
      </c>
      <c r="EM77" s="26" t="s">
        <v>206</v>
      </c>
      <c r="EN77" s="26" t="s">
        <v>207</v>
      </c>
    </row>
    <row r="78" spans="1:144">
      <c r="A78" s="26" t="s">
        <v>145</v>
      </c>
      <c r="B78" s="26" t="s">
        <v>1452</v>
      </c>
      <c r="C78" s="26" t="s">
        <v>1757</v>
      </c>
      <c r="D78" s="26" t="s">
        <v>148</v>
      </c>
      <c r="E78" s="26" t="s">
        <v>149</v>
      </c>
      <c r="F78" s="26" t="s">
        <v>152</v>
      </c>
      <c r="G78" s="26" t="s">
        <v>151</v>
      </c>
      <c r="H78" s="26" t="s">
        <v>152</v>
      </c>
      <c r="I78" s="26" t="s">
        <v>153</v>
      </c>
      <c r="J78" s="26" t="s">
        <v>154</v>
      </c>
      <c r="K78" s="26" t="s">
        <v>209</v>
      </c>
      <c r="L78" s="26" t="s">
        <v>620</v>
      </c>
      <c r="M78" s="26" t="s">
        <v>1758</v>
      </c>
      <c r="O78" s="26" t="s">
        <v>1780</v>
      </c>
      <c r="P78" s="26" t="s">
        <v>1781</v>
      </c>
      <c r="S78" s="26" t="s">
        <v>1782</v>
      </c>
      <c r="T78" s="26">
        <v>306.765</v>
      </c>
      <c r="U78" s="26" t="s">
        <v>217</v>
      </c>
      <c r="V78" s="26" t="s">
        <v>150</v>
      </c>
      <c r="Y78" s="26" t="s">
        <v>1763</v>
      </c>
      <c r="Z78" s="26">
        <v>35.45642</v>
      </c>
      <c r="AA78" s="26">
        <v>0</v>
      </c>
      <c r="AB78" s="26">
        <v>0</v>
      </c>
      <c r="AC78" s="26">
        <v>60</v>
      </c>
      <c r="AD78" s="26" t="s">
        <v>1783</v>
      </c>
      <c r="AE78" s="26" t="s">
        <v>1783</v>
      </c>
      <c r="AF78" s="26" t="s">
        <v>1783</v>
      </c>
      <c r="AG78" s="26" t="s">
        <v>1784</v>
      </c>
      <c r="AI78" s="26" t="s">
        <v>167</v>
      </c>
      <c r="AJ78" s="26" t="s">
        <v>168</v>
      </c>
      <c r="AK78" s="26" t="s">
        <v>169</v>
      </c>
      <c r="AM78" s="26" t="s">
        <v>1785</v>
      </c>
      <c r="AN78" s="26" t="s">
        <v>172</v>
      </c>
      <c r="AO78" s="26" t="s">
        <v>1786</v>
      </c>
      <c r="AP78" s="26" t="s">
        <v>162</v>
      </c>
      <c r="AQ78" s="26" t="s">
        <v>1766</v>
      </c>
      <c r="AR78" s="26" t="s">
        <v>1767</v>
      </c>
      <c r="AS78" s="26" t="s">
        <v>1439</v>
      </c>
      <c r="AT78" s="26" t="s">
        <v>1787</v>
      </c>
      <c r="AU78" s="26" t="s">
        <v>1768</v>
      </c>
      <c r="AV78" s="26" t="s">
        <v>1768</v>
      </c>
      <c r="AX78" s="26" t="s">
        <v>1788</v>
      </c>
      <c r="AY78" s="26" t="s">
        <v>179</v>
      </c>
      <c r="BC78" s="26" t="s">
        <v>1757</v>
      </c>
      <c r="BD78" s="26" t="s">
        <v>180</v>
      </c>
      <c r="BE78" s="26" t="s">
        <v>181</v>
      </c>
      <c r="BF78" s="26" t="s">
        <v>167</v>
      </c>
      <c r="BH78" s="26" t="s">
        <v>162</v>
      </c>
      <c r="BI78" s="26" t="s">
        <v>182</v>
      </c>
      <c r="BJ78" s="26" t="s">
        <v>625</v>
      </c>
      <c r="BK78" s="26" t="s">
        <v>264</v>
      </c>
      <c r="BL78" s="26" t="s">
        <v>185</v>
      </c>
      <c r="BM78" s="26" t="s">
        <v>186</v>
      </c>
      <c r="BN78" s="26" t="s">
        <v>162</v>
      </c>
      <c r="BP78" s="26">
        <v>0</v>
      </c>
      <c r="BQ78" s="26" t="s">
        <v>1789</v>
      </c>
      <c r="BS78" s="26" t="s">
        <v>230</v>
      </c>
      <c r="BT78" s="26" t="s">
        <v>185</v>
      </c>
      <c r="BV78" s="26">
        <v>43.7892</v>
      </c>
      <c r="BW78" s="26">
        <v>0.14</v>
      </c>
      <c r="BZ78" s="26">
        <v>0</v>
      </c>
      <c r="CA78" s="26" t="s">
        <v>189</v>
      </c>
      <c r="CC78" s="26" t="s">
        <v>162</v>
      </c>
      <c r="CD78" s="26">
        <v>0</v>
      </c>
      <c r="CE78" s="26" t="s">
        <v>190</v>
      </c>
      <c r="CF78" s="26" t="s">
        <v>195</v>
      </c>
      <c r="CG78" s="26" t="s">
        <v>1790</v>
      </c>
      <c r="CI78" s="26" t="s">
        <v>232</v>
      </c>
      <c r="CJ78" s="26">
        <v>312.78</v>
      </c>
      <c r="CK78" s="26">
        <v>0</v>
      </c>
      <c r="CL78" s="26">
        <v>15.64</v>
      </c>
      <c r="CM78" s="26">
        <v>58.45</v>
      </c>
      <c r="CQ78" s="26" t="s">
        <v>605</v>
      </c>
      <c r="CR78" s="26" t="s">
        <v>1772</v>
      </c>
      <c r="CS78" s="26" t="s">
        <v>1773</v>
      </c>
      <c r="CW78" s="26" t="s">
        <v>1791</v>
      </c>
      <c r="CX78" s="26" t="s">
        <v>162</v>
      </c>
      <c r="CY78" s="26" t="s">
        <v>196</v>
      </c>
      <c r="CZ78" s="26">
        <v>0</v>
      </c>
      <c r="DA78" s="26" t="s">
        <v>150</v>
      </c>
      <c r="DB78" s="26">
        <v>0</v>
      </c>
      <c r="DK78" s="26" t="s">
        <v>150</v>
      </c>
      <c r="DL78" s="26" t="s">
        <v>390</v>
      </c>
      <c r="DM78" s="26" t="s">
        <v>1775</v>
      </c>
      <c r="DN78" s="26" t="s">
        <v>1776</v>
      </c>
      <c r="DO78" s="26" t="s">
        <v>1777</v>
      </c>
      <c r="DP78" s="26" t="s">
        <v>1778</v>
      </c>
      <c r="DR78" s="26" t="s">
        <v>189</v>
      </c>
      <c r="DS78" s="26" t="s">
        <v>189</v>
      </c>
      <c r="DT78" s="26" t="s">
        <v>189</v>
      </c>
      <c r="DU78" s="26" t="s">
        <v>189</v>
      </c>
      <c r="DV78" s="26" t="s">
        <v>203</v>
      </c>
      <c r="DW78" s="26" t="s">
        <v>162</v>
      </c>
      <c r="DX78" s="26" t="s">
        <v>162</v>
      </c>
      <c r="DY78" s="26">
        <v>0</v>
      </c>
      <c r="DZ78" s="26" t="s">
        <v>150</v>
      </c>
      <c r="EA78" s="26" t="s">
        <v>470</v>
      </c>
      <c r="EB78" s="26" t="s">
        <v>471</v>
      </c>
      <c r="EC78" s="26" t="s">
        <v>1787</v>
      </c>
      <c r="ED78" s="26" t="s">
        <v>1792</v>
      </c>
      <c r="EH78" s="26" t="s">
        <v>189</v>
      </c>
      <c r="EI78" s="26">
        <v>0.14</v>
      </c>
      <c r="EJ78" s="26">
        <v>43.7892</v>
      </c>
      <c r="EK78" s="26">
        <v>58.45</v>
      </c>
      <c r="EL78" s="26" t="s">
        <v>1793</v>
      </c>
      <c r="EM78" s="26" t="s">
        <v>206</v>
      </c>
      <c r="EN78" s="26" t="s">
        <v>207</v>
      </c>
    </row>
    <row r="79" spans="1:144">
      <c r="A79" s="26" t="s">
        <v>145</v>
      </c>
      <c r="B79" s="26" t="s">
        <v>1452</v>
      </c>
      <c r="C79" s="26" t="s">
        <v>1794</v>
      </c>
      <c r="D79" s="26" t="s">
        <v>148</v>
      </c>
      <c r="E79" s="26" t="s">
        <v>149</v>
      </c>
      <c r="F79" s="26" t="s">
        <v>152</v>
      </c>
      <c r="G79" s="26" t="s">
        <v>151</v>
      </c>
      <c r="H79" s="26" t="s">
        <v>152</v>
      </c>
      <c r="I79" s="26" t="s">
        <v>153</v>
      </c>
      <c r="J79" s="26" t="s">
        <v>154</v>
      </c>
      <c r="K79" s="26" t="s">
        <v>244</v>
      </c>
      <c r="L79" s="26" t="s">
        <v>707</v>
      </c>
      <c r="M79" s="26" t="s">
        <v>1795</v>
      </c>
      <c r="N79" s="26" t="s">
        <v>1796</v>
      </c>
      <c r="O79" s="26" t="s">
        <v>1797</v>
      </c>
      <c r="P79" s="26" t="s">
        <v>1798</v>
      </c>
      <c r="Q79" s="26" t="s">
        <v>1799</v>
      </c>
      <c r="R79" s="26">
        <v>209.723</v>
      </c>
      <c r="S79" s="26" t="s">
        <v>657</v>
      </c>
      <c r="T79" s="26">
        <v>203.708</v>
      </c>
      <c r="U79" s="26" t="s">
        <v>217</v>
      </c>
      <c r="V79" s="26" t="s">
        <v>150</v>
      </c>
      <c r="Y79" s="26" t="s">
        <v>1800</v>
      </c>
      <c r="Z79" s="26">
        <v>31.45845</v>
      </c>
      <c r="AA79" s="26">
        <v>0</v>
      </c>
      <c r="AB79" s="26">
        <v>0</v>
      </c>
      <c r="AC79" s="26">
        <v>45</v>
      </c>
      <c r="AD79" s="26" t="s">
        <v>291</v>
      </c>
      <c r="AE79" s="26" t="s">
        <v>291</v>
      </c>
      <c r="AF79" s="26" t="s">
        <v>291</v>
      </c>
      <c r="AG79" s="26" t="s">
        <v>1801</v>
      </c>
      <c r="AI79" s="26" t="s">
        <v>167</v>
      </c>
      <c r="AJ79" s="26" t="s">
        <v>168</v>
      </c>
      <c r="AK79" s="26" t="s">
        <v>169</v>
      </c>
      <c r="AL79" s="26" t="s">
        <v>1802</v>
      </c>
      <c r="AM79" s="26" t="s">
        <v>1803</v>
      </c>
      <c r="AN79" s="26" t="s">
        <v>172</v>
      </c>
      <c r="AO79" s="26" t="s">
        <v>494</v>
      </c>
      <c r="AP79" s="26" t="s">
        <v>162</v>
      </c>
      <c r="AQ79" s="26" t="s">
        <v>1804</v>
      </c>
      <c r="AR79" s="26" t="s">
        <v>1805</v>
      </c>
      <c r="AS79" s="26" t="s">
        <v>721</v>
      </c>
      <c r="AU79" s="26" t="s">
        <v>1806</v>
      </c>
      <c r="AV79" s="26" t="s">
        <v>1806</v>
      </c>
      <c r="AX79" s="26" t="s">
        <v>1807</v>
      </c>
      <c r="AY79" s="26" t="s">
        <v>179</v>
      </c>
      <c r="BC79" s="26" t="s">
        <v>1794</v>
      </c>
      <c r="BD79" s="26" t="s">
        <v>180</v>
      </c>
      <c r="BE79" s="26" t="s">
        <v>181</v>
      </c>
      <c r="BF79" s="26" t="s">
        <v>167</v>
      </c>
      <c r="BH79" s="26" t="s">
        <v>162</v>
      </c>
      <c r="BI79" s="26" t="s">
        <v>182</v>
      </c>
      <c r="BJ79" s="26" t="s">
        <v>1808</v>
      </c>
      <c r="BK79" s="26" t="s">
        <v>184</v>
      </c>
      <c r="BL79" s="26" t="s">
        <v>185</v>
      </c>
      <c r="BM79" s="26" t="s">
        <v>186</v>
      </c>
      <c r="BN79" s="26" t="s">
        <v>162</v>
      </c>
      <c r="BP79" s="26">
        <v>0</v>
      </c>
      <c r="BQ79" s="26" t="s">
        <v>494</v>
      </c>
      <c r="BS79" s="26" t="s">
        <v>230</v>
      </c>
      <c r="BT79" s="26" t="s">
        <v>185</v>
      </c>
      <c r="BV79" s="26">
        <v>33.5552</v>
      </c>
      <c r="BW79" s="26">
        <v>0.16</v>
      </c>
      <c r="BZ79" s="26">
        <v>0</v>
      </c>
      <c r="CA79" s="26" t="s">
        <v>189</v>
      </c>
      <c r="CC79" s="26" t="s">
        <v>162</v>
      </c>
      <c r="CD79" s="26">
        <v>0</v>
      </c>
      <c r="CE79" s="26" t="s">
        <v>190</v>
      </c>
      <c r="CF79" s="26" t="s">
        <v>167</v>
      </c>
      <c r="CG79" s="26" t="s">
        <v>1809</v>
      </c>
      <c r="CI79" s="26" t="s">
        <v>267</v>
      </c>
      <c r="CJ79" s="26">
        <v>209.72</v>
      </c>
      <c r="CK79" s="26">
        <v>0</v>
      </c>
      <c r="CL79" s="26">
        <v>10.49</v>
      </c>
      <c r="CM79" s="26">
        <v>32.48</v>
      </c>
      <c r="CQ79" s="26" t="s">
        <v>437</v>
      </c>
      <c r="CR79" s="26" t="s">
        <v>1810</v>
      </c>
      <c r="CS79" s="26" t="s">
        <v>1811</v>
      </c>
      <c r="CW79" s="26" t="s">
        <v>1812</v>
      </c>
      <c r="CX79" s="26" t="s">
        <v>162</v>
      </c>
      <c r="CY79" s="26" t="s">
        <v>196</v>
      </c>
      <c r="CZ79" s="26">
        <v>0</v>
      </c>
      <c r="DB79" s="26">
        <v>0</v>
      </c>
      <c r="DK79" s="26" t="s">
        <v>150</v>
      </c>
      <c r="DL79" s="26" t="s">
        <v>700</v>
      </c>
      <c r="DM79" s="26" t="s">
        <v>1813</v>
      </c>
      <c r="DN79" s="26" t="s">
        <v>1814</v>
      </c>
      <c r="DO79" s="26" t="s">
        <v>1815</v>
      </c>
      <c r="DP79" s="26" t="s">
        <v>1816</v>
      </c>
      <c r="DR79" s="26" t="s">
        <v>189</v>
      </c>
      <c r="DS79" s="26" t="s">
        <v>189</v>
      </c>
      <c r="DT79" s="26" t="s">
        <v>189</v>
      </c>
      <c r="DU79" s="26" t="s">
        <v>189</v>
      </c>
      <c r="DV79" s="26" t="s">
        <v>203</v>
      </c>
      <c r="DW79" s="26" t="s">
        <v>162</v>
      </c>
      <c r="DX79" s="26" t="s">
        <v>162</v>
      </c>
      <c r="DY79" s="26">
        <v>0</v>
      </c>
      <c r="DZ79" s="26" t="s">
        <v>150</v>
      </c>
      <c r="EH79" s="26" t="s">
        <v>189</v>
      </c>
      <c r="EI79" s="26">
        <v>0.16</v>
      </c>
      <c r="EJ79" s="26">
        <v>33.5552</v>
      </c>
      <c r="EK79" s="26">
        <v>32.48</v>
      </c>
      <c r="EL79" s="26" t="s">
        <v>1817</v>
      </c>
      <c r="EM79" s="26" t="s">
        <v>206</v>
      </c>
      <c r="EN79" s="26" t="s">
        <v>207</v>
      </c>
    </row>
    <row r="80" spans="1:144">
      <c r="A80" s="26" t="s">
        <v>145</v>
      </c>
      <c r="B80" s="26" t="s">
        <v>1452</v>
      </c>
      <c r="C80" s="26" t="s">
        <v>1818</v>
      </c>
      <c r="D80" s="26" t="s">
        <v>148</v>
      </c>
      <c r="E80" s="26" t="s">
        <v>149</v>
      </c>
      <c r="F80" s="26" t="s">
        <v>152</v>
      </c>
      <c r="G80" s="26" t="s">
        <v>151</v>
      </c>
      <c r="H80" s="26" t="s">
        <v>152</v>
      </c>
      <c r="I80" s="26" t="s">
        <v>153</v>
      </c>
      <c r="J80" s="26" t="s">
        <v>154</v>
      </c>
      <c r="K80" s="26" t="s">
        <v>244</v>
      </c>
      <c r="L80" s="26" t="s">
        <v>245</v>
      </c>
      <c r="M80" s="26" t="s">
        <v>1819</v>
      </c>
      <c r="N80" s="26" t="s">
        <v>1820</v>
      </c>
      <c r="O80" s="26" t="s">
        <v>1821</v>
      </c>
      <c r="P80" s="26" t="s">
        <v>1822</v>
      </c>
      <c r="Q80" s="26" t="s">
        <v>1823</v>
      </c>
      <c r="R80" s="26">
        <v>164.811</v>
      </c>
      <c r="S80" s="26" t="s">
        <v>1137</v>
      </c>
      <c r="T80" s="26">
        <v>158.796</v>
      </c>
      <c r="U80" s="26" t="s">
        <v>217</v>
      </c>
      <c r="V80" s="26" t="s">
        <v>150</v>
      </c>
      <c r="Y80" s="26" t="s">
        <v>1824</v>
      </c>
      <c r="Z80" s="26">
        <v>24.72165</v>
      </c>
      <c r="AA80" s="26">
        <v>0</v>
      </c>
      <c r="AB80" s="26">
        <v>0</v>
      </c>
      <c r="AC80" s="26">
        <v>25</v>
      </c>
      <c r="AD80" s="26" t="s">
        <v>773</v>
      </c>
      <c r="AE80" s="26" t="s">
        <v>773</v>
      </c>
      <c r="AF80" s="26" t="s">
        <v>773</v>
      </c>
      <c r="AG80" s="26" t="s">
        <v>1825</v>
      </c>
      <c r="AI80" s="26" t="s">
        <v>167</v>
      </c>
      <c r="AJ80" s="26" t="s">
        <v>168</v>
      </c>
      <c r="AK80" s="26" t="s">
        <v>169</v>
      </c>
      <c r="AL80" s="26" t="s">
        <v>800</v>
      </c>
      <c r="AM80" s="26" t="s">
        <v>1826</v>
      </c>
      <c r="AN80" s="26" t="s">
        <v>172</v>
      </c>
      <c r="AO80" s="26" t="s">
        <v>856</v>
      </c>
      <c r="AP80" s="26" t="s">
        <v>162</v>
      </c>
      <c r="AQ80" s="26" t="s">
        <v>1827</v>
      </c>
      <c r="AR80" s="26" t="s">
        <v>1828</v>
      </c>
      <c r="AS80" s="26" t="s">
        <v>662</v>
      </c>
      <c r="AU80" s="26" t="s">
        <v>1829</v>
      </c>
      <c r="AV80" s="26" t="s">
        <v>1829</v>
      </c>
      <c r="AX80" s="26" t="s">
        <v>1830</v>
      </c>
      <c r="AY80" s="26" t="s">
        <v>179</v>
      </c>
      <c r="BC80" s="26" t="s">
        <v>1818</v>
      </c>
      <c r="BD80" s="26" t="s">
        <v>180</v>
      </c>
      <c r="BE80" s="26" t="s">
        <v>181</v>
      </c>
      <c r="BF80" s="26" t="s">
        <v>167</v>
      </c>
      <c r="BH80" s="26" t="s">
        <v>162</v>
      </c>
      <c r="BI80" s="26" t="s">
        <v>182</v>
      </c>
      <c r="BJ80" s="26" t="s">
        <v>1831</v>
      </c>
      <c r="BK80" s="26" t="s">
        <v>184</v>
      </c>
      <c r="BL80" s="26" t="s">
        <v>185</v>
      </c>
      <c r="BM80" s="26" t="s">
        <v>186</v>
      </c>
      <c r="BN80" s="26" t="s">
        <v>162</v>
      </c>
      <c r="BP80" s="26">
        <v>0</v>
      </c>
      <c r="BQ80" s="26" t="s">
        <v>776</v>
      </c>
      <c r="BS80" s="26" t="s">
        <v>230</v>
      </c>
      <c r="BT80" s="26" t="s">
        <v>185</v>
      </c>
      <c r="BV80" s="26">
        <v>26.3696</v>
      </c>
      <c r="BW80" s="26">
        <v>0.16</v>
      </c>
      <c r="BZ80" s="26">
        <v>0</v>
      </c>
      <c r="CA80" s="26" t="s">
        <v>189</v>
      </c>
      <c r="CC80" s="26" t="s">
        <v>162</v>
      </c>
      <c r="CD80" s="26">
        <v>0</v>
      </c>
      <c r="CE80" s="26" t="s">
        <v>190</v>
      </c>
      <c r="CF80" s="26" t="s">
        <v>167</v>
      </c>
      <c r="CG80" s="26" t="s">
        <v>1832</v>
      </c>
      <c r="CI80" s="26" t="s">
        <v>267</v>
      </c>
      <c r="CJ80" s="26">
        <v>164.81</v>
      </c>
      <c r="CK80" s="26">
        <v>0</v>
      </c>
      <c r="CL80" s="26">
        <v>8.24</v>
      </c>
      <c r="CM80" s="26">
        <v>25.15</v>
      </c>
      <c r="CQ80" s="26" t="s">
        <v>605</v>
      </c>
      <c r="CR80" s="26" t="s">
        <v>1833</v>
      </c>
      <c r="CS80" s="26" t="s">
        <v>1834</v>
      </c>
      <c r="CW80" s="26" t="s">
        <v>1835</v>
      </c>
      <c r="CX80" s="26" t="s">
        <v>167</v>
      </c>
      <c r="CY80" s="26" t="s">
        <v>196</v>
      </c>
      <c r="CZ80" s="26">
        <v>0</v>
      </c>
      <c r="DB80" s="26">
        <v>0</v>
      </c>
      <c r="DK80" s="26" t="s">
        <v>150</v>
      </c>
      <c r="DL80" s="26" t="s">
        <v>729</v>
      </c>
      <c r="DM80" s="26" t="s">
        <v>1836</v>
      </c>
      <c r="DN80" s="26" t="s">
        <v>1837</v>
      </c>
      <c r="DO80" s="26" t="s">
        <v>1838</v>
      </c>
      <c r="DP80" s="26" t="s">
        <v>1839</v>
      </c>
      <c r="DR80" s="26" t="s">
        <v>189</v>
      </c>
      <c r="DS80" s="26" t="s">
        <v>189</v>
      </c>
      <c r="DT80" s="26" t="s">
        <v>189</v>
      </c>
      <c r="DU80" s="26" t="s">
        <v>189</v>
      </c>
      <c r="DV80" s="26" t="s">
        <v>203</v>
      </c>
      <c r="DW80" s="26" t="s">
        <v>162</v>
      </c>
      <c r="DX80" s="26" t="s">
        <v>162</v>
      </c>
      <c r="DY80" s="26">
        <v>0</v>
      </c>
      <c r="DZ80" s="26" t="s">
        <v>150</v>
      </c>
      <c r="EH80" s="26" t="s">
        <v>189</v>
      </c>
      <c r="EI80" s="26">
        <v>0.16</v>
      </c>
      <c r="EJ80" s="26">
        <v>26.3696</v>
      </c>
      <c r="EK80" s="26">
        <v>25.15</v>
      </c>
      <c r="EL80" s="26" t="s">
        <v>1840</v>
      </c>
      <c r="EM80" s="26" t="s">
        <v>206</v>
      </c>
      <c r="EN80" s="26" t="s">
        <v>207</v>
      </c>
    </row>
    <row r="81" spans="1:144">
      <c r="A81" s="26" t="s">
        <v>145</v>
      </c>
      <c r="B81" s="26" t="s">
        <v>1452</v>
      </c>
      <c r="C81" s="26" t="s">
        <v>1841</v>
      </c>
      <c r="D81" s="26" t="s">
        <v>148</v>
      </c>
      <c r="E81" s="26" t="s">
        <v>149</v>
      </c>
      <c r="F81" s="26" t="s">
        <v>152</v>
      </c>
      <c r="G81" s="26" t="s">
        <v>151</v>
      </c>
      <c r="H81" s="26" t="s">
        <v>152</v>
      </c>
      <c r="I81" s="26" t="s">
        <v>153</v>
      </c>
      <c r="J81" s="26" t="s">
        <v>154</v>
      </c>
      <c r="K81" s="26" t="s">
        <v>244</v>
      </c>
      <c r="L81" s="26" t="s">
        <v>245</v>
      </c>
      <c r="M81" s="26" t="s">
        <v>1842</v>
      </c>
      <c r="N81" s="26" t="s">
        <v>1843</v>
      </c>
      <c r="O81" s="26" t="s">
        <v>1844</v>
      </c>
      <c r="P81" s="26" t="s">
        <v>1845</v>
      </c>
      <c r="Q81" s="26" t="s">
        <v>1489</v>
      </c>
      <c r="R81" s="26">
        <v>118.295</v>
      </c>
      <c r="S81" s="26" t="s">
        <v>1187</v>
      </c>
      <c r="T81" s="26">
        <v>112.28</v>
      </c>
      <c r="U81" s="26" t="s">
        <v>217</v>
      </c>
      <c r="V81" s="26" t="s">
        <v>150</v>
      </c>
      <c r="Y81" s="26" t="s">
        <v>1846</v>
      </c>
      <c r="Z81" s="26">
        <v>17.74425</v>
      </c>
      <c r="AA81" s="26">
        <v>0</v>
      </c>
      <c r="AB81" s="26">
        <v>0</v>
      </c>
      <c r="AC81" s="26">
        <v>11</v>
      </c>
      <c r="AD81" s="26" t="s">
        <v>1847</v>
      </c>
      <c r="AE81" s="26" t="s">
        <v>1847</v>
      </c>
      <c r="AF81" s="26" t="s">
        <v>1847</v>
      </c>
      <c r="AG81" s="26" t="s">
        <v>1260</v>
      </c>
      <c r="AI81" s="26" t="s">
        <v>167</v>
      </c>
      <c r="AJ81" s="26" t="s">
        <v>797</v>
      </c>
      <c r="AK81" s="26" t="s">
        <v>798</v>
      </c>
      <c r="AL81" s="26" t="s">
        <v>1261</v>
      </c>
      <c r="AM81" s="26" t="s">
        <v>984</v>
      </c>
      <c r="AN81" s="26" t="s">
        <v>172</v>
      </c>
      <c r="AO81" s="26" t="s">
        <v>494</v>
      </c>
      <c r="AP81" s="26" t="s">
        <v>162</v>
      </c>
      <c r="AQ81" s="26" t="s">
        <v>1848</v>
      </c>
      <c r="AR81" s="26" t="s">
        <v>1849</v>
      </c>
      <c r="AS81" s="26" t="s">
        <v>662</v>
      </c>
      <c r="AU81" s="26" t="s">
        <v>1850</v>
      </c>
      <c r="AV81" s="26" t="s">
        <v>150</v>
      </c>
      <c r="AX81" s="26" t="s">
        <v>1851</v>
      </c>
      <c r="AY81" s="26" t="s">
        <v>179</v>
      </c>
      <c r="BC81" s="26" t="s">
        <v>1841</v>
      </c>
      <c r="BD81" s="26" t="s">
        <v>180</v>
      </c>
      <c r="BE81" s="26" t="s">
        <v>181</v>
      </c>
      <c r="BF81" s="26" t="s">
        <v>167</v>
      </c>
      <c r="BH81" s="26" t="s">
        <v>162</v>
      </c>
      <c r="BI81" s="26" t="s">
        <v>807</v>
      </c>
      <c r="BJ81" s="26" t="s">
        <v>341</v>
      </c>
      <c r="BK81" s="26" t="s">
        <v>184</v>
      </c>
      <c r="BL81" s="26" t="s">
        <v>185</v>
      </c>
      <c r="BM81" s="26" t="s">
        <v>186</v>
      </c>
      <c r="BN81" s="26" t="s">
        <v>162</v>
      </c>
      <c r="BP81" s="26">
        <v>0</v>
      </c>
      <c r="BQ81" s="26" t="s">
        <v>494</v>
      </c>
      <c r="BS81" s="26" t="s">
        <v>230</v>
      </c>
      <c r="BT81" s="26" t="s">
        <v>185</v>
      </c>
      <c r="BV81" s="26">
        <v>18.928</v>
      </c>
      <c r="BW81" s="26">
        <v>0.16</v>
      </c>
      <c r="BZ81" s="26">
        <v>0</v>
      </c>
      <c r="CA81" s="26" t="s">
        <v>189</v>
      </c>
      <c r="CC81" s="26" t="s">
        <v>162</v>
      </c>
      <c r="CD81" s="26">
        <v>0</v>
      </c>
      <c r="CE81" s="26" t="s">
        <v>190</v>
      </c>
      <c r="CF81" s="26" t="s">
        <v>167</v>
      </c>
      <c r="CG81" s="26" t="s">
        <v>1852</v>
      </c>
      <c r="CI81" s="26" t="s">
        <v>267</v>
      </c>
      <c r="CJ81" s="26">
        <v>118.3</v>
      </c>
      <c r="CK81" s="26">
        <v>0</v>
      </c>
      <c r="CL81" s="26">
        <v>5.92</v>
      </c>
      <c r="CM81" s="26">
        <v>23.36</v>
      </c>
      <c r="CQ81" s="26" t="s">
        <v>605</v>
      </c>
      <c r="CR81" s="26" t="s">
        <v>1268</v>
      </c>
      <c r="CS81" s="26" t="s">
        <v>1853</v>
      </c>
      <c r="CW81" s="26" t="s">
        <v>1854</v>
      </c>
      <c r="CX81" s="26" t="s">
        <v>162</v>
      </c>
      <c r="CY81" s="26" t="s">
        <v>196</v>
      </c>
      <c r="CZ81" s="26">
        <v>0</v>
      </c>
      <c r="DB81" s="26">
        <v>0</v>
      </c>
      <c r="DK81" s="26" t="s">
        <v>150</v>
      </c>
      <c r="DL81" s="26" t="s">
        <v>390</v>
      </c>
      <c r="DM81" s="26" t="s">
        <v>1855</v>
      </c>
      <c r="DO81" s="26" t="s">
        <v>1856</v>
      </c>
      <c r="DR81" s="26" t="s">
        <v>189</v>
      </c>
      <c r="DS81" s="26" t="s">
        <v>189</v>
      </c>
      <c r="DT81" s="26" t="s">
        <v>189</v>
      </c>
      <c r="DU81" s="26" t="s">
        <v>189</v>
      </c>
      <c r="DV81" s="26" t="s">
        <v>203</v>
      </c>
      <c r="DW81" s="26" t="s">
        <v>162</v>
      </c>
      <c r="DX81" s="26" t="s">
        <v>162</v>
      </c>
      <c r="DY81" s="26">
        <v>0</v>
      </c>
      <c r="DZ81" s="26" t="s">
        <v>150</v>
      </c>
      <c r="EH81" s="26" t="s">
        <v>189</v>
      </c>
      <c r="EI81" s="26">
        <v>0.16</v>
      </c>
      <c r="EJ81" s="26">
        <v>18.928</v>
      </c>
      <c r="EK81" s="26">
        <v>23.36</v>
      </c>
      <c r="EL81" s="26" t="s">
        <v>1857</v>
      </c>
      <c r="EM81" s="26" t="s">
        <v>1710</v>
      </c>
      <c r="EN81" s="26" t="s">
        <v>207</v>
      </c>
    </row>
    <row r="82" spans="1:144">
      <c r="A82" s="26" t="s">
        <v>145</v>
      </c>
      <c r="B82" s="26" t="s">
        <v>1452</v>
      </c>
      <c r="C82" s="26" t="s">
        <v>1858</v>
      </c>
      <c r="D82" s="26" t="s">
        <v>148</v>
      </c>
      <c r="E82" s="26" t="s">
        <v>149</v>
      </c>
      <c r="F82" s="26" t="s">
        <v>152</v>
      </c>
      <c r="G82" s="26" t="s">
        <v>151</v>
      </c>
      <c r="H82" s="26" t="s">
        <v>152</v>
      </c>
      <c r="I82" s="26" t="s">
        <v>153</v>
      </c>
      <c r="J82" s="26" t="s">
        <v>154</v>
      </c>
      <c r="K82" s="26" t="s">
        <v>209</v>
      </c>
      <c r="L82" s="26" t="s">
        <v>210</v>
      </c>
      <c r="M82" s="26" t="s">
        <v>1859</v>
      </c>
      <c r="N82" s="26" t="s">
        <v>1860</v>
      </c>
      <c r="O82" s="26" t="s">
        <v>1861</v>
      </c>
      <c r="P82" s="26" t="s">
        <v>1862</v>
      </c>
      <c r="Q82" s="26" t="s">
        <v>1863</v>
      </c>
      <c r="R82" s="26">
        <v>290.725</v>
      </c>
      <c r="S82" s="26" t="s">
        <v>1864</v>
      </c>
      <c r="T82" s="26">
        <v>284.71</v>
      </c>
      <c r="U82" s="26" t="s">
        <v>217</v>
      </c>
      <c r="V82" s="26" t="s">
        <v>150</v>
      </c>
      <c r="Y82" s="26" t="s">
        <v>1865</v>
      </c>
      <c r="Z82" s="26">
        <v>43.60875</v>
      </c>
      <c r="AA82" s="26">
        <v>0</v>
      </c>
      <c r="AB82" s="26">
        <v>0</v>
      </c>
      <c r="AC82" s="26">
        <v>55</v>
      </c>
      <c r="AD82" s="26" t="s">
        <v>1741</v>
      </c>
      <c r="AE82" s="26" t="s">
        <v>1741</v>
      </c>
      <c r="AF82" s="26" t="s">
        <v>1741</v>
      </c>
      <c r="AG82" s="26" t="s">
        <v>1866</v>
      </c>
      <c r="AI82" s="26" t="s">
        <v>167</v>
      </c>
      <c r="AJ82" s="26" t="s">
        <v>168</v>
      </c>
      <c r="AK82" s="26" t="s">
        <v>169</v>
      </c>
      <c r="AL82" s="26" t="s">
        <v>1867</v>
      </c>
      <c r="AM82" s="26" t="s">
        <v>1868</v>
      </c>
      <c r="AN82" s="26" t="s">
        <v>172</v>
      </c>
      <c r="AO82" s="26" t="s">
        <v>223</v>
      </c>
      <c r="AP82" s="26" t="s">
        <v>162</v>
      </c>
      <c r="AQ82" s="26" t="s">
        <v>1869</v>
      </c>
      <c r="AR82" s="26" t="s">
        <v>1870</v>
      </c>
      <c r="AS82" s="26" t="s">
        <v>1439</v>
      </c>
      <c r="AU82" s="26" t="s">
        <v>1871</v>
      </c>
      <c r="AV82" s="26" t="s">
        <v>1871</v>
      </c>
      <c r="AX82" s="26" t="s">
        <v>228</v>
      </c>
      <c r="AY82" s="26" t="s">
        <v>179</v>
      </c>
      <c r="BC82" s="26" t="s">
        <v>1858</v>
      </c>
      <c r="BD82" s="26" t="s">
        <v>180</v>
      </c>
      <c r="BE82" s="26" t="s">
        <v>181</v>
      </c>
      <c r="BF82" s="26" t="s">
        <v>167</v>
      </c>
      <c r="BH82" s="26" t="s">
        <v>162</v>
      </c>
      <c r="BI82" s="26" t="s">
        <v>182</v>
      </c>
      <c r="BJ82" s="26" t="s">
        <v>1872</v>
      </c>
      <c r="BK82" s="26" t="s">
        <v>184</v>
      </c>
      <c r="BL82" s="26" t="s">
        <v>185</v>
      </c>
      <c r="BM82" s="26" t="s">
        <v>186</v>
      </c>
      <c r="BN82" s="26" t="s">
        <v>162</v>
      </c>
      <c r="BP82" s="26">
        <v>0</v>
      </c>
      <c r="BQ82" s="26" t="s">
        <v>223</v>
      </c>
      <c r="BS82" s="26" t="s">
        <v>230</v>
      </c>
      <c r="BT82" s="26" t="s">
        <v>185</v>
      </c>
      <c r="BV82" s="26">
        <v>40.7022</v>
      </c>
      <c r="BW82" s="26">
        <v>0.14</v>
      </c>
      <c r="BZ82" s="26">
        <v>0</v>
      </c>
      <c r="CA82" s="26" t="s">
        <v>189</v>
      </c>
      <c r="CC82" s="26" t="s">
        <v>162</v>
      </c>
      <c r="CD82" s="26">
        <v>0</v>
      </c>
      <c r="CE82" s="26" t="s">
        <v>190</v>
      </c>
      <c r="CF82" s="26" t="s">
        <v>167</v>
      </c>
      <c r="CG82" s="26" t="s">
        <v>1873</v>
      </c>
      <c r="CI82" s="26" t="s">
        <v>232</v>
      </c>
      <c r="CJ82" s="26">
        <v>290.73</v>
      </c>
      <c r="CK82" s="26">
        <v>0</v>
      </c>
      <c r="CL82" s="26">
        <v>14.54</v>
      </c>
      <c r="CM82" s="26">
        <v>40.6</v>
      </c>
      <c r="CQ82" s="26" t="s">
        <v>605</v>
      </c>
      <c r="CR82" s="26" t="s">
        <v>1874</v>
      </c>
      <c r="CS82" s="26" t="s">
        <v>1875</v>
      </c>
      <c r="CW82" s="26" t="s">
        <v>1876</v>
      </c>
      <c r="CX82" s="26" t="s">
        <v>195</v>
      </c>
      <c r="CY82" s="26" t="s">
        <v>196</v>
      </c>
      <c r="CZ82" s="26">
        <v>0</v>
      </c>
      <c r="DB82" s="26">
        <v>0</v>
      </c>
      <c r="DK82" s="26" t="s">
        <v>150</v>
      </c>
      <c r="DL82" s="26" t="s">
        <v>1877</v>
      </c>
      <c r="DM82" s="26" t="s">
        <v>1878</v>
      </c>
      <c r="DN82" s="26" t="s">
        <v>1879</v>
      </c>
      <c r="DO82" s="26" t="s">
        <v>1880</v>
      </c>
      <c r="DP82" s="26" t="s">
        <v>1881</v>
      </c>
      <c r="DR82" s="26" t="s">
        <v>189</v>
      </c>
      <c r="DS82" s="26" t="s">
        <v>189</v>
      </c>
      <c r="DT82" s="26" t="s">
        <v>189</v>
      </c>
      <c r="DU82" s="26" t="s">
        <v>189</v>
      </c>
      <c r="DV82" s="26" t="s">
        <v>203</v>
      </c>
      <c r="DW82" s="26" t="s">
        <v>162</v>
      </c>
      <c r="DX82" s="26" t="s">
        <v>162</v>
      </c>
      <c r="DY82" s="26">
        <v>0</v>
      </c>
      <c r="DZ82" s="26" t="s">
        <v>150</v>
      </c>
      <c r="EH82" s="26" t="s">
        <v>189</v>
      </c>
      <c r="EI82" s="26">
        <v>0.14</v>
      </c>
      <c r="EJ82" s="26">
        <v>40.7022</v>
      </c>
      <c r="EK82" s="26">
        <v>40.6</v>
      </c>
      <c r="EL82" s="26" t="s">
        <v>1882</v>
      </c>
      <c r="EM82" s="26" t="s">
        <v>206</v>
      </c>
      <c r="EN82" s="26" t="s">
        <v>207</v>
      </c>
    </row>
    <row r="83" spans="1:144">
      <c r="A83" s="26" t="s">
        <v>145</v>
      </c>
      <c r="B83" s="26" t="s">
        <v>1452</v>
      </c>
      <c r="C83" s="26" t="s">
        <v>1883</v>
      </c>
      <c r="D83" s="26" t="s">
        <v>148</v>
      </c>
      <c r="E83" s="26" t="s">
        <v>149</v>
      </c>
      <c r="F83" s="26" t="s">
        <v>152</v>
      </c>
      <c r="G83" s="26" t="s">
        <v>151</v>
      </c>
      <c r="H83" s="26" t="s">
        <v>152</v>
      </c>
      <c r="I83" s="26" t="s">
        <v>153</v>
      </c>
      <c r="J83" s="26" t="s">
        <v>154</v>
      </c>
      <c r="K83" s="26" t="s">
        <v>1075</v>
      </c>
      <c r="L83" s="26" t="s">
        <v>1884</v>
      </c>
      <c r="M83" s="26" t="s">
        <v>1885</v>
      </c>
      <c r="N83" s="26" t="s">
        <v>1886</v>
      </c>
      <c r="O83" s="26" t="s">
        <v>1887</v>
      </c>
      <c r="P83" s="26" t="s">
        <v>1888</v>
      </c>
      <c r="Q83" s="26" t="s">
        <v>1889</v>
      </c>
      <c r="R83" s="26">
        <v>68.17</v>
      </c>
      <c r="S83" s="26" t="s">
        <v>1890</v>
      </c>
      <c r="T83" s="26">
        <v>62.155</v>
      </c>
      <c r="U83" s="26" t="s">
        <v>217</v>
      </c>
      <c r="V83" s="26" t="s">
        <v>150</v>
      </c>
      <c r="Y83" s="26" t="s">
        <v>1891</v>
      </c>
      <c r="Z83" s="26">
        <v>10.2255</v>
      </c>
      <c r="AA83" s="26">
        <v>0</v>
      </c>
      <c r="AB83" s="26">
        <v>0</v>
      </c>
      <c r="AC83" s="26">
        <v>5.5</v>
      </c>
      <c r="AD83" s="26" t="s">
        <v>1892</v>
      </c>
      <c r="AE83" s="26" t="s">
        <v>1892</v>
      </c>
      <c r="AF83" s="26" t="s">
        <v>1892</v>
      </c>
      <c r="AG83" s="26" t="s">
        <v>1893</v>
      </c>
      <c r="AI83" s="26" t="s">
        <v>167</v>
      </c>
      <c r="AJ83" s="26" t="s">
        <v>797</v>
      </c>
      <c r="AK83" s="26" t="s">
        <v>798</v>
      </c>
      <c r="AL83" s="26" t="s">
        <v>1360</v>
      </c>
      <c r="AM83" s="26" t="s">
        <v>1894</v>
      </c>
      <c r="AN83" s="26" t="s">
        <v>172</v>
      </c>
      <c r="AO83" s="26" t="s">
        <v>1895</v>
      </c>
      <c r="AP83" s="26" t="s">
        <v>162</v>
      </c>
      <c r="AQ83" s="26" t="s">
        <v>1896</v>
      </c>
      <c r="AR83" s="26" t="s">
        <v>1897</v>
      </c>
      <c r="AS83" s="26" t="s">
        <v>1898</v>
      </c>
      <c r="AU83" s="26" t="s">
        <v>1899</v>
      </c>
      <c r="AV83" s="26" t="s">
        <v>150</v>
      </c>
      <c r="AX83" s="26" t="s">
        <v>1900</v>
      </c>
      <c r="AY83" s="26" t="s">
        <v>179</v>
      </c>
      <c r="BC83" s="26" t="s">
        <v>1883</v>
      </c>
      <c r="BD83" s="26" t="s">
        <v>180</v>
      </c>
      <c r="BE83" s="26" t="s">
        <v>1007</v>
      </c>
      <c r="BF83" s="26" t="s">
        <v>167</v>
      </c>
      <c r="BH83" s="26" t="s">
        <v>162</v>
      </c>
      <c r="BI83" s="26" t="s">
        <v>807</v>
      </c>
      <c r="BJ83" s="26" t="s">
        <v>1901</v>
      </c>
      <c r="BK83" s="26" t="s">
        <v>1902</v>
      </c>
      <c r="BL83" s="26" t="s">
        <v>185</v>
      </c>
      <c r="BM83" s="26" t="s">
        <v>186</v>
      </c>
      <c r="BN83" s="26" t="s">
        <v>162</v>
      </c>
      <c r="BP83" s="26">
        <v>0</v>
      </c>
      <c r="BQ83" s="26" t="s">
        <v>776</v>
      </c>
      <c r="BS83" s="26" t="s">
        <v>354</v>
      </c>
      <c r="BT83" s="26" t="s">
        <v>185</v>
      </c>
      <c r="BV83" s="26">
        <v>9.5438</v>
      </c>
      <c r="BW83" s="26">
        <v>0.14</v>
      </c>
      <c r="BZ83" s="26">
        <v>0</v>
      </c>
      <c r="CA83" s="26" t="s">
        <v>189</v>
      </c>
      <c r="CC83" s="26" t="s">
        <v>162</v>
      </c>
      <c r="CD83" s="26">
        <v>0</v>
      </c>
      <c r="CE83" s="26" t="s">
        <v>190</v>
      </c>
      <c r="CF83" s="26" t="s">
        <v>167</v>
      </c>
      <c r="CG83" s="26" t="s">
        <v>1903</v>
      </c>
      <c r="CI83" s="26" t="s">
        <v>1095</v>
      </c>
      <c r="CJ83" s="26">
        <v>68.17</v>
      </c>
      <c r="CK83" s="26">
        <v>0</v>
      </c>
      <c r="CL83" s="26">
        <v>3.41</v>
      </c>
      <c r="CM83" s="26">
        <v>17.82</v>
      </c>
      <c r="CQ83" s="26" t="s">
        <v>233</v>
      </c>
      <c r="CR83" s="26" t="s">
        <v>1904</v>
      </c>
      <c r="CS83" s="26" t="s">
        <v>1905</v>
      </c>
      <c r="CW83" s="26" t="s">
        <v>1906</v>
      </c>
      <c r="CX83" s="26" t="s">
        <v>162</v>
      </c>
      <c r="CY83" s="26" t="s">
        <v>196</v>
      </c>
      <c r="CZ83" s="26">
        <v>0</v>
      </c>
      <c r="DB83" s="26">
        <v>0</v>
      </c>
      <c r="DK83" s="26" t="s">
        <v>150</v>
      </c>
      <c r="DL83" s="26" t="s">
        <v>390</v>
      </c>
      <c r="DM83" s="26" t="s">
        <v>1907</v>
      </c>
      <c r="DN83" s="26" t="s">
        <v>1908</v>
      </c>
      <c r="DO83" s="26" t="s">
        <v>1909</v>
      </c>
      <c r="DP83" s="26" t="s">
        <v>1910</v>
      </c>
      <c r="DR83" s="26" t="s">
        <v>189</v>
      </c>
      <c r="DS83" s="26" t="s">
        <v>189</v>
      </c>
      <c r="DT83" s="26" t="s">
        <v>189</v>
      </c>
      <c r="DU83" s="26" t="s">
        <v>189</v>
      </c>
      <c r="DV83" s="26" t="s">
        <v>203</v>
      </c>
      <c r="DW83" s="26" t="s">
        <v>162</v>
      </c>
      <c r="DX83" s="26" t="s">
        <v>162</v>
      </c>
      <c r="DY83" s="26">
        <v>0</v>
      </c>
      <c r="DZ83" s="26" t="s">
        <v>150</v>
      </c>
      <c r="EH83" s="26" t="s">
        <v>189</v>
      </c>
      <c r="EI83" s="26">
        <v>0.14</v>
      </c>
      <c r="EJ83" s="26">
        <v>9.5438</v>
      </c>
      <c r="EK83" s="26">
        <v>17.82</v>
      </c>
      <c r="EL83" s="26" t="s">
        <v>1911</v>
      </c>
      <c r="EM83" s="26" t="s">
        <v>206</v>
      </c>
      <c r="EN83" s="26" t="s">
        <v>207</v>
      </c>
    </row>
    <row r="84" spans="1:144">
      <c r="A84" s="26" t="s">
        <v>145</v>
      </c>
      <c r="B84" s="26" t="s">
        <v>1452</v>
      </c>
      <c r="C84" s="26" t="s">
        <v>1912</v>
      </c>
      <c r="D84" s="26" t="s">
        <v>148</v>
      </c>
      <c r="E84" s="26" t="s">
        <v>149</v>
      </c>
      <c r="F84" s="26" t="s">
        <v>152</v>
      </c>
      <c r="G84" s="26" t="s">
        <v>151</v>
      </c>
      <c r="H84" s="26" t="s">
        <v>152</v>
      </c>
      <c r="I84" s="26" t="s">
        <v>153</v>
      </c>
      <c r="J84" s="26" t="s">
        <v>154</v>
      </c>
      <c r="K84" s="26" t="s">
        <v>209</v>
      </c>
      <c r="L84" s="26" t="s">
        <v>620</v>
      </c>
      <c r="M84" s="26" t="s">
        <v>1913</v>
      </c>
      <c r="N84" s="26" t="s">
        <v>1914</v>
      </c>
      <c r="O84" s="26" t="s">
        <v>1915</v>
      </c>
      <c r="P84" s="26" t="s">
        <v>1916</v>
      </c>
      <c r="Q84" s="26" t="s">
        <v>657</v>
      </c>
      <c r="R84" s="26">
        <v>203.708</v>
      </c>
      <c r="S84" s="26" t="s">
        <v>1114</v>
      </c>
      <c r="T84" s="26">
        <v>197.693</v>
      </c>
      <c r="U84" s="26" t="s">
        <v>217</v>
      </c>
      <c r="V84" s="26" t="s">
        <v>150</v>
      </c>
      <c r="Y84" s="26" t="s">
        <v>1115</v>
      </c>
      <c r="Z84" s="26">
        <v>30.5562</v>
      </c>
      <c r="AA84" s="26">
        <v>0</v>
      </c>
      <c r="AB84" s="26">
        <v>0</v>
      </c>
      <c r="AC84" s="26">
        <v>36</v>
      </c>
      <c r="AD84" s="26" t="s">
        <v>1917</v>
      </c>
      <c r="AE84" s="26" t="s">
        <v>1917</v>
      </c>
      <c r="AF84" s="26" t="s">
        <v>1917</v>
      </c>
      <c r="AG84" s="26" t="s">
        <v>1918</v>
      </c>
      <c r="AI84" s="26" t="s">
        <v>167</v>
      </c>
      <c r="AJ84" s="26" t="s">
        <v>797</v>
      </c>
      <c r="AK84" s="26" t="s">
        <v>798</v>
      </c>
      <c r="AL84" s="26" t="s">
        <v>1310</v>
      </c>
      <c r="AM84" s="26" t="s">
        <v>713</v>
      </c>
      <c r="AN84" s="26" t="s">
        <v>172</v>
      </c>
      <c r="AO84" s="26" t="s">
        <v>223</v>
      </c>
      <c r="AP84" s="26" t="s">
        <v>162</v>
      </c>
      <c r="AQ84" s="26" t="s">
        <v>1919</v>
      </c>
      <c r="AR84" s="26" t="s">
        <v>1920</v>
      </c>
      <c r="AS84" s="26" t="s">
        <v>260</v>
      </c>
      <c r="AT84" s="26" t="s">
        <v>1921</v>
      </c>
      <c r="AU84" s="26" t="s">
        <v>1922</v>
      </c>
      <c r="AV84" s="26" t="s">
        <v>150</v>
      </c>
      <c r="AX84" s="26" t="s">
        <v>1923</v>
      </c>
      <c r="AY84" s="26" t="s">
        <v>179</v>
      </c>
      <c r="BC84" s="26" t="s">
        <v>1912</v>
      </c>
      <c r="BD84" s="26" t="s">
        <v>180</v>
      </c>
      <c r="BE84" s="26" t="s">
        <v>181</v>
      </c>
      <c r="BF84" s="26" t="s">
        <v>167</v>
      </c>
      <c r="BH84" s="26" t="s">
        <v>162</v>
      </c>
      <c r="BI84" s="26" t="s">
        <v>807</v>
      </c>
      <c r="BJ84" s="26" t="s">
        <v>1924</v>
      </c>
      <c r="BK84" s="26" t="s">
        <v>184</v>
      </c>
      <c r="BL84" s="26" t="s">
        <v>185</v>
      </c>
      <c r="BM84" s="26" t="s">
        <v>186</v>
      </c>
      <c r="BN84" s="26" t="s">
        <v>162</v>
      </c>
      <c r="BP84" s="26">
        <v>0</v>
      </c>
      <c r="BQ84" s="26" t="s">
        <v>223</v>
      </c>
      <c r="BS84" s="26" t="s">
        <v>230</v>
      </c>
      <c r="BT84" s="26" t="s">
        <v>185</v>
      </c>
      <c r="BV84" s="26">
        <v>28.5194</v>
      </c>
      <c r="BW84" s="26">
        <v>0.14</v>
      </c>
      <c r="BZ84" s="26">
        <v>0</v>
      </c>
      <c r="CA84" s="26" t="s">
        <v>189</v>
      </c>
      <c r="CC84" s="26" t="s">
        <v>162</v>
      </c>
      <c r="CD84" s="26">
        <v>0</v>
      </c>
      <c r="CE84" s="26" t="s">
        <v>190</v>
      </c>
      <c r="CF84" s="26" t="s">
        <v>167</v>
      </c>
      <c r="CG84" s="26" t="s">
        <v>1925</v>
      </c>
      <c r="CI84" s="26" t="s">
        <v>232</v>
      </c>
      <c r="CJ84" s="26">
        <v>203.71</v>
      </c>
      <c r="CK84" s="26">
        <v>0</v>
      </c>
      <c r="CL84" s="26">
        <v>10.19</v>
      </c>
      <c r="CM84" s="26">
        <v>46.72</v>
      </c>
      <c r="CQ84" s="26" t="s">
        <v>192</v>
      </c>
      <c r="CR84" s="26" t="s">
        <v>1320</v>
      </c>
      <c r="CS84" s="26" t="s">
        <v>1926</v>
      </c>
      <c r="CW84" s="26" t="s">
        <v>1927</v>
      </c>
      <c r="CX84" s="26" t="s">
        <v>195</v>
      </c>
      <c r="CY84" s="26" t="s">
        <v>196</v>
      </c>
      <c r="CZ84" s="26">
        <v>0</v>
      </c>
      <c r="DB84" s="26">
        <v>0</v>
      </c>
      <c r="DK84" s="26" t="s">
        <v>150</v>
      </c>
      <c r="DL84" s="26" t="s">
        <v>1928</v>
      </c>
      <c r="DM84" s="26" t="s">
        <v>1907</v>
      </c>
      <c r="DN84" s="26" t="s">
        <v>1929</v>
      </c>
      <c r="DO84" s="26" t="s">
        <v>1909</v>
      </c>
      <c r="DP84" s="26" t="s">
        <v>1930</v>
      </c>
      <c r="DR84" s="26" t="s">
        <v>189</v>
      </c>
      <c r="DS84" s="26" t="s">
        <v>189</v>
      </c>
      <c r="DT84" s="26" t="s">
        <v>189</v>
      </c>
      <c r="DU84" s="26" t="s">
        <v>189</v>
      </c>
      <c r="DV84" s="26" t="s">
        <v>203</v>
      </c>
      <c r="DW84" s="26" t="s">
        <v>162</v>
      </c>
      <c r="DX84" s="26" t="s">
        <v>162</v>
      </c>
      <c r="DY84" s="26">
        <v>0</v>
      </c>
      <c r="DZ84" s="26" t="s">
        <v>150</v>
      </c>
      <c r="EA84" s="26" t="s">
        <v>470</v>
      </c>
      <c r="EB84" s="26" t="s">
        <v>471</v>
      </c>
      <c r="EH84" s="26" t="s">
        <v>189</v>
      </c>
      <c r="EI84" s="26">
        <v>0.14</v>
      </c>
      <c r="EJ84" s="26">
        <v>28.5194</v>
      </c>
      <c r="EK84" s="26">
        <v>46.72</v>
      </c>
      <c r="EL84" s="26" t="s">
        <v>1931</v>
      </c>
      <c r="EM84" s="26" t="s">
        <v>206</v>
      </c>
      <c r="EN84" s="26" t="s">
        <v>207</v>
      </c>
    </row>
    <row r="85" spans="1:144">
      <c r="A85" s="26" t="s">
        <v>145</v>
      </c>
      <c r="B85" s="26" t="s">
        <v>1452</v>
      </c>
      <c r="C85" s="26" t="s">
        <v>1932</v>
      </c>
      <c r="D85" s="26" t="s">
        <v>148</v>
      </c>
      <c r="E85" s="26" t="s">
        <v>149</v>
      </c>
      <c r="F85" s="26" t="s">
        <v>152</v>
      </c>
      <c r="G85" s="26" t="s">
        <v>151</v>
      </c>
      <c r="H85" s="26" t="s">
        <v>152</v>
      </c>
      <c r="I85" s="26" t="s">
        <v>153</v>
      </c>
      <c r="J85" s="26" t="s">
        <v>154</v>
      </c>
      <c r="K85" s="26" t="s">
        <v>244</v>
      </c>
      <c r="L85" s="26" t="s">
        <v>366</v>
      </c>
      <c r="M85" s="26" t="s">
        <v>1933</v>
      </c>
      <c r="N85" s="26" t="s">
        <v>1934</v>
      </c>
      <c r="O85" s="26" t="s">
        <v>1935</v>
      </c>
      <c r="P85" s="26" t="s">
        <v>1936</v>
      </c>
      <c r="Q85" s="26" t="s">
        <v>1720</v>
      </c>
      <c r="R85" s="26">
        <v>193.282</v>
      </c>
      <c r="S85" s="26" t="s">
        <v>1937</v>
      </c>
      <c r="T85" s="26">
        <v>187.267</v>
      </c>
      <c r="U85" s="26" t="s">
        <v>217</v>
      </c>
      <c r="V85" s="26" t="s">
        <v>150</v>
      </c>
      <c r="Y85" s="26" t="s">
        <v>1938</v>
      </c>
      <c r="Z85" s="26">
        <v>28.9923</v>
      </c>
      <c r="AA85" s="26">
        <v>0</v>
      </c>
      <c r="AB85" s="26">
        <v>0</v>
      </c>
      <c r="AC85" s="26">
        <v>37</v>
      </c>
      <c r="AD85" s="26" t="s">
        <v>483</v>
      </c>
      <c r="AE85" s="26" t="s">
        <v>483</v>
      </c>
      <c r="AF85" s="26" t="s">
        <v>483</v>
      </c>
      <c r="AG85" s="26" t="s">
        <v>1939</v>
      </c>
      <c r="AI85" s="26" t="s">
        <v>167</v>
      </c>
      <c r="AJ85" s="26" t="s">
        <v>168</v>
      </c>
      <c r="AK85" s="26" t="s">
        <v>169</v>
      </c>
      <c r="AL85" s="26" t="s">
        <v>1940</v>
      </c>
      <c r="AM85" s="26" t="s">
        <v>1802</v>
      </c>
      <c r="AN85" s="26" t="s">
        <v>172</v>
      </c>
      <c r="AO85" s="26" t="s">
        <v>385</v>
      </c>
      <c r="AP85" s="26" t="s">
        <v>162</v>
      </c>
      <c r="AQ85" s="26" t="s">
        <v>1941</v>
      </c>
      <c r="AR85" s="26" t="s">
        <v>1942</v>
      </c>
      <c r="AS85" s="26" t="s">
        <v>909</v>
      </c>
      <c r="AT85" s="26" t="s">
        <v>1943</v>
      </c>
      <c r="AU85" s="26" t="s">
        <v>1944</v>
      </c>
      <c r="AV85" s="26" t="s">
        <v>1944</v>
      </c>
      <c r="AX85" s="26" t="s">
        <v>1945</v>
      </c>
      <c r="AY85" s="26" t="s">
        <v>179</v>
      </c>
      <c r="BC85" s="26" t="s">
        <v>1932</v>
      </c>
      <c r="BD85" s="26" t="s">
        <v>180</v>
      </c>
      <c r="BE85" s="26" t="s">
        <v>181</v>
      </c>
      <c r="BF85" s="26" t="s">
        <v>167</v>
      </c>
      <c r="BH85" s="26" t="s">
        <v>162</v>
      </c>
      <c r="BI85" s="26" t="s">
        <v>182</v>
      </c>
      <c r="BJ85" s="26" t="s">
        <v>1946</v>
      </c>
      <c r="BK85" s="26" t="s">
        <v>184</v>
      </c>
      <c r="BL85" s="26" t="s">
        <v>185</v>
      </c>
      <c r="BM85" s="26" t="s">
        <v>186</v>
      </c>
      <c r="BN85" s="26" t="s">
        <v>162</v>
      </c>
      <c r="BP85" s="26">
        <v>0</v>
      </c>
      <c r="BR85" s="26" t="s">
        <v>385</v>
      </c>
      <c r="BS85" s="26" t="s">
        <v>354</v>
      </c>
      <c r="BT85" s="26" t="s">
        <v>185</v>
      </c>
      <c r="BV85" s="26">
        <v>30.9248</v>
      </c>
      <c r="BW85" s="26">
        <v>0.16</v>
      </c>
      <c r="BZ85" s="26">
        <v>0</v>
      </c>
      <c r="CA85" s="26" t="s">
        <v>189</v>
      </c>
      <c r="CC85" s="26" t="s">
        <v>162</v>
      </c>
      <c r="CD85" s="26">
        <v>0</v>
      </c>
      <c r="CE85" s="26" t="s">
        <v>190</v>
      </c>
      <c r="CF85" s="26" t="s">
        <v>167</v>
      </c>
      <c r="CG85" s="26" t="s">
        <v>1947</v>
      </c>
      <c r="CI85" s="26" t="s">
        <v>267</v>
      </c>
      <c r="CJ85" s="26">
        <v>193.28</v>
      </c>
      <c r="CK85" s="26">
        <v>0</v>
      </c>
      <c r="CL85" s="26">
        <v>9.66</v>
      </c>
      <c r="CM85" s="26">
        <v>32.1</v>
      </c>
      <c r="CQ85" s="26" t="s">
        <v>605</v>
      </c>
      <c r="CR85" s="26" t="s">
        <v>1948</v>
      </c>
      <c r="CS85" s="26" t="s">
        <v>1949</v>
      </c>
      <c r="CW85" s="26" t="s">
        <v>1950</v>
      </c>
      <c r="CX85" s="26" t="s">
        <v>167</v>
      </c>
      <c r="CY85" s="26" t="s">
        <v>196</v>
      </c>
      <c r="CZ85" s="26">
        <v>0</v>
      </c>
      <c r="DB85" s="26">
        <v>0</v>
      </c>
      <c r="DK85" s="26" t="s">
        <v>150</v>
      </c>
      <c r="DL85" s="26" t="s">
        <v>1014</v>
      </c>
      <c r="DM85" s="26" t="s">
        <v>1951</v>
      </c>
      <c r="DN85" s="26" t="s">
        <v>1952</v>
      </c>
      <c r="DO85" s="26" t="s">
        <v>1953</v>
      </c>
      <c r="DP85" s="26" t="s">
        <v>1954</v>
      </c>
      <c r="DR85" s="26" t="s">
        <v>189</v>
      </c>
      <c r="DS85" s="26" t="s">
        <v>189</v>
      </c>
      <c r="DT85" s="26" t="s">
        <v>189</v>
      </c>
      <c r="DU85" s="26" t="s">
        <v>189</v>
      </c>
      <c r="DV85" s="26" t="s">
        <v>203</v>
      </c>
      <c r="DW85" s="26" t="s">
        <v>162</v>
      </c>
      <c r="DX85" s="26" t="s">
        <v>162</v>
      </c>
      <c r="DY85" s="26">
        <v>0</v>
      </c>
      <c r="DZ85" s="26" t="s">
        <v>150</v>
      </c>
      <c r="EH85" s="26" t="s">
        <v>189</v>
      </c>
      <c r="EI85" s="26">
        <v>0.16</v>
      </c>
      <c r="EJ85" s="26">
        <v>30.9248</v>
      </c>
      <c r="EK85" s="26">
        <v>32.1</v>
      </c>
      <c r="EL85" s="26" t="s">
        <v>1955</v>
      </c>
      <c r="EM85" s="26" t="s">
        <v>206</v>
      </c>
      <c r="EN85" s="26" t="s">
        <v>207</v>
      </c>
    </row>
    <row r="86" spans="1:144">
      <c r="A86" s="26" t="s">
        <v>145</v>
      </c>
      <c r="B86" s="26" t="s">
        <v>1452</v>
      </c>
      <c r="C86" s="26" t="s">
        <v>1956</v>
      </c>
      <c r="D86" s="26" t="s">
        <v>148</v>
      </c>
      <c r="E86" s="26" t="s">
        <v>149</v>
      </c>
      <c r="F86" s="26" t="s">
        <v>152</v>
      </c>
      <c r="G86" s="26" t="s">
        <v>151</v>
      </c>
      <c r="H86" s="26" t="s">
        <v>152</v>
      </c>
      <c r="I86" s="26" t="s">
        <v>153</v>
      </c>
      <c r="J86" s="26" t="s">
        <v>154</v>
      </c>
      <c r="K86" s="26" t="s">
        <v>244</v>
      </c>
      <c r="L86" s="26" t="s">
        <v>1957</v>
      </c>
      <c r="M86" s="26" t="s">
        <v>1958</v>
      </c>
      <c r="N86" s="26" t="s">
        <v>1959</v>
      </c>
      <c r="O86" s="26" t="s">
        <v>1960</v>
      </c>
      <c r="P86" s="26" t="s">
        <v>1961</v>
      </c>
      <c r="Q86" s="26" t="s">
        <v>1962</v>
      </c>
      <c r="R86" s="26">
        <v>247.016</v>
      </c>
      <c r="S86" s="26" t="s">
        <v>1963</v>
      </c>
      <c r="T86" s="26">
        <v>241.001</v>
      </c>
      <c r="U86" s="26" t="s">
        <v>217</v>
      </c>
      <c r="V86" s="26" t="s">
        <v>150</v>
      </c>
      <c r="Y86" s="26" t="s">
        <v>1964</v>
      </c>
      <c r="Z86" s="26">
        <v>37.0524</v>
      </c>
      <c r="AA86" s="26">
        <v>0</v>
      </c>
      <c r="AB86" s="26">
        <v>0</v>
      </c>
      <c r="AC86" s="26">
        <v>45</v>
      </c>
      <c r="AD86" s="26" t="s">
        <v>291</v>
      </c>
      <c r="AE86" s="26" t="s">
        <v>291</v>
      </c>
      <c r="AF86" s="26" t="s">
        <v>291</v>
      </c>
      <c r="AG86" s="26" t="s">
        <v>1965</v>
      </c>
      <c r="AI86" s="26" t="s">
        <v>167</v>
      </c>
      <c r="AJ86" s="26" t="s">
        <v>797</v>
      </c>
      <c r="AK86" s="26" t="s">
        <v>798</v>
      </c>
      <c r="AL86" s="26" t="s">
        <v>1966</v>
      </c>
      <c r="AM86" s="26" t="s">
        <v>1747</v>
      </c>
      <c r="AN86" s="26" t="s">
        <v>172</v>
      </c>
      <c r="AO86" s="26" t="s">
        <v>1967</v>
      </c>
      <c r="AP86" s="26" t="s">
        <v>162</v>
      </c>
      <c r="AQ86" s="26" t="s">
        <v>1968</v>
      </c>
      <c r="AR86" s="26" t="s">
        <v>1969</v>
      </c>
      <c r="AS86" s="26" t="s">
        <v>937</v>
      </c>
      <c r="AU86" s="26" t="s">
        <v>1970</v>
      </c>
      <c r="AV86" s="26" t="s">
        <v>150</v>
      </c>
      <c r="AX86" s="26" t="s">
        <v>1971</v>
      </c>
      <c r="AY86" s="26" t="s">
        <v>179</v>
      </c>
      <c r="BC86" s="26" t="s">
        <v>1956</v>
      </c>
      <c r="BD86" s="26" t="s">
        <v>180</v>
      </c>
      <c r="BE86" s="26" t="s">
        <v>181</v>
      </c>
      <c r="BF86" s="26" t="s">
        <v>167</v>
      </c>
      <c r="BH86" s="26" t="s">
        <v>162</v>
      </c>
      <c r="BI86" s="26" t="s">
        <v>807</v>
      </c>
      <c r="BJ86" s="26" t="s">
        <v>1972</v>
      </c>
      <c r="BK86" s="26" t="s">
        <v>184</v>
      </c>
      <c r="BL86" s="26" t="s">
        <v>185</v>
      </c>
      <c r="BM86" s="26" t="s">
        <v>186</v>
      </c>
      <c r="BN86" s="26" t="s">
        <v>162</v>
      </c>
      <c r="BP86" s="26">
        <v>0</v>
      </c>
      <c r="BQ86" s="26" t="s">
        <v>776</v>
      </c>
      <c r="BS86" s="26" t="s">
        <v>354</v>
      </c>
      <c r="BT86" s="26" t="s">
        <v>185</v>
      </c>
      <c r="BV86" s="26">
        <v>39.5232</v>
      </c>
      <c r="BW86" s="26">
        <v>0.16</v>
      </c>
      <c r="BZ86" s="26">
        <v>0</v>
      </c>
      <c r="CA86" s="26" t="s">
        <v>189</v>
      </c>
      <c r="CC86" s="26" t="s">
        <v>162</v>
      </c>
      <c r="CD86" s="26">
        <v>0</v>
      </c>
      <c r="CE86" s="26" t="s">
        <v>190</v>
      </c>
      <c r="CF86" s="26" t="s">
        <v>167</v>
      </c>
      <c r="CG86" s="26" t="s">
        <v>1973</v>
      </c>
      <c r="CI86" s="26" t="s">
        <v>267</v>
      </c>
      <c r="CJ86" s="26">
        <v>247.02</v>
      </c>
      <c r="CK86" s="26">
        <v>0</v>
      </c>
      <c r="CL86" s="26">
        <v>12.35</v>
      </c>
      <c r="CM86" s="26">
        <v>49.47</v>
      </c>
      <c r="CQ86" s="26" t="s">
        <v>437</v>
      </c>
      <c r="CR86" s="26" t="s">
        <v>1974</v>
      </c>
      <c r="CS86" s="26" t="s">
        <v>1975</v>
      </c>
      <c r="CW86" s="26" t="s">
        <v>1976</v>
      </c>
      <c r="CX86" s="26" t="s">
        <v>1977</v>
      </c>
      <c r="CY86" s="26" t="s">
        <v>196</v>
      </c>
      <c r="CZ86" s="26">
        <v>0</v>
      </c>
      <c r="DB86" s="26">
        <v>0</v>
      </c>
      <c r="DK86" s="26" t="s">
        <v>150</v>
      </c>
      <c r="DL86" s="26" t="s">
        <v>581</v>
      </c>
      <c r="DM86" s="26" t="s">
        <v>1978</v>
      </c>
      <c r="DN86" s="26" t="s">
        <v>1979</v>
      </c>
      <c r="DO86" s="26" t="s">
        <v>1980</v>
      </c>
      <c r="DP86" s="26" t="s">
        <v>1981</v>
      </c>
      <c r="DR86" s="26" t="s">
        <v>189</v>
      </c>
      <c r="DS86" s="26" t="s">
        <v>189</v>
      </c>
      <c r="DT86" s="26" t="s">
        <v>189</v>
      </c>
      <c r="DU86" s="26" t="s">
        <v>189</v>
      </c>
      <c r="DV86" s="26" t="s">
        <v>203</v>
      </c>
      <c r="DW86" s="26" t="s">
        <v>162</v>
      </c>
      <c r="DX86" s="26" t="s">
        <v>162</v>
      </c>
      <c r="DY86" s="26">
        <v>0</v>
      </c>
      <c r="DZ86" s="26" t="s">
        <v>150</v>
      </c>
      <c r="EH86" s="26" t="s">
        <v>189</v>
      </c>
      <c r="EI86" s="26">
        <v>0.16</v>
      </c>
      <c r="EJ86" s="26">
        <v>39.5232</v>
      </c>
      <c r="EK86" s="26">
        <v>49.47</v>
      </c>
      <c r="EL86" s="26" t="s">
        <v>1982</v>
      </c>
      <c r="EM86" s="26" t="s">
        <v>206</v>
      </c>
      <c r="EN86" s="26" t="s">
        <v>207</v>
      </c>
    </row>
    <row r="87" spans="1:144">
      <c r="A87" s="26" t="s">
        <v>145</v>
      </c>
      <c r="B87" s="26" t="s">
        <v>1556</v>
      </c>
      <c r="C87" s="26" t="s">
        <v>1983</v>
      </c>
      <c r="D87" s="26" t="s">
        <v>148</v>
      </c>
      <c r="E87" s="26" t="s">
        <v>149</v>
      </c>
      <c r="F87" s="26" t="s">
        <v>152</v>
      </c>
      <c r="G87" s="26" t="s">
        <v>151</v>
      </c>
      <c r="H87" s="26" t="s">
        <v>152</v>
      </c>
      <c r="I87" s="26" t="s">
        <v>153</v>
      </c>
      <c r="J87" s="26" t="s">
        <v>154</v>
      </c>
      <c r="K87" s="26" t="s">
        <v>244</v>
      </c>
      <c r="L87" s="26" t="s">
        <v>1984</v>
      </c>
      <c r="M87" s="26" t="s">
        <v>1985</v>
      </c>
      <c r="N87" s="26" t="s">
        <v>1986</v>
      </c>
      <c r="O87" s="26" t="s">
        <v>1987</v>
      </c>
      <c r="P87" s="26" t="s">
        <v>1988</v>
      </c>
      <c r="Q87" s="26" t="s">
        <v>1373</v>
      </c>
      <c r="R87" s="26">
        <v>130.69188</v>
      </c>
      <c r="S87" s="26" t="s">
        <v>1989</v>
      </c>
      <c r="T87" s="26">
        <v>124.64133</v>
      </c>
      <c r="U87" s="26" t="s">
        <v>217</v>
      </c>
      <c r="V87" s="26" t="s">
        <v>150</v>
      </c>
      <c r="Y87" s="26" t="s">
        <v>1990</v>
      </c>
      <c r="Z87" s="26">
        <v>19.603782</v>
      </c>
      <c r="AA87" s="26">
        <v>0</v>
      </c>
      <c r="AB87" s="26">
        <v>0</v>
      </c>
      <c r="AC87" s="26">
        <v>23</v>
      </c>
      <c r="AD87" s="26" t="s">
        <v>1991</v>
      </c>
      <c r="AE87" s="26" t="s">
        <v>1992</v>
      </c>
      <c r="AF87" s="26" t="s">
        <v>1992</v>
      </c>
      <c r="AG87" s="26" t="s">
        <v>1993</v>
      </c>
      <c r="AH87" s="26" t="s">
        <v>1994</v>
      </c>
      <c r="AI87" s="26" t="s">
        <v>167</v>
      </c>
      <c r="AJ87" s="26" t="s">
        <v>168</v>
      </c>
      <c r="AK87" s="26" t="s">
        <v>169</v>
      </c>
      <c r="AL87" s="26" t="s">
        <v>1995</v>
      </c>
      <c r="AM87" s="26" t="s">
        <v>1996</v>
      </c>
      <c r="AN87" s="26" t="s">
        <v>172</v>
      </c>
      <c r="AO87" s="26" t="s">
        <v>257</v>
      </c>
      <c r="AP87" s="26" t="s">
        <v>162</v>
      </c>
      <c r="AQ87" s="26" t="s">
        <v>1997</v>
      </c>
      <c r="AR87" s="26" t="s">
        <v>1998</v>
      </c>
      <c r="AS87" s="26" t="s">
        <v>321</v>
      </c>
      <c r="AT87" s="26" t="s">
        <v>1999</v>
      </c>
      <c r="AU87" s="26" t="s">
        <v>2000</v>
      </c>
      <c r="AV87" s="26" t="s">
        <v>2000</v>
      </c>
      <c r="AX87" s="26" t="s">
        <v>2001</v>
      </c>
      <c r="AY87" s="26" t="s">
        <v>179</v>
      </c>
      <c r="BC87" s="26" t="s">
        <v>1983</v>
      </c>
      <c r="BD87" s="26" t="s">
        <v>180</v>
      </c>
      <c r="BE87" s="26" t="s">
        <v>181</v>
      </c>
      <c r="BF87" s="26" t="s">
        <v>167</v>
      </c>
      <c r="BH87" s="26" t="s">
        <v>162</v>
      </c>
      <c r="BI87" s="26" t="s">
        <v>182</v>
      </c>
      <c r="BJ87" s="26" t="s">
        <v>2002</v>
      </c>
      <c r="BK87" s="26" t="s">
        <v>184</v>
      </c>
      <c r="BL87" s="26" t="s">
        <v>185</v>
      </c>
      <c r="BM87" s="26" t="s">
        <v>186</v>
      </c>
      <c r="BN87" s="26" t="s">
        <v>162</v>
      </c>
      <c r="BP87" s="26">
        <v>0</v>
      </c>
      <c r="BQ87" s="26" t="s">
        <v>265</v>
      </c>
      <c r="BS87" s="26" t="s">
        <v>188</v>
      </c>
      <c r="BT87" s="26" t="s">
        <v>185</v>
      </c>
      <c r="BV87" s="26">
        <v>20.9104</v>
      </c>
      <c r="BW87" s="26">
        <v>0.16</v>
      </c>
      <c r="BZ87" s="26">
        <v>0</v>
      </c>
      <c r="CA87" s="26" t="s">
        <v>189</v>
      </c>
      <c r="CC87" s="26" t="s">
        <v>162</v>
      </c>
      <c r="CD87" s="26">
        <v>0</v>
      </c>
      <c r="CE87" s="26" t="s">
        <v>190</v>
      </c>
      <c r="CF87" s="26" t="s">
        <v>167</v>
      </c>
      <c r="CG87" s="26" t="s">
        <v>2003</v>
      </c>
      <c r="CI87" s="26" t="s">
        <v>267</v>
      </c>
      <c r="CJ87" s="26">
        <v>130.69</v>
      </c>
      <c r="CK87" s="26">
        <v>0</v>
      </c>
      <c r="CL87" s="26">
        <v>6.53</v>
      </c>
      <c r="CM87" s="26">
        <v>30.87</v>
      </c>
      <c r="CQ87" s="26" t="s">
        <v>233</v>
      </c>
      <c r="CR87" s="26" t="s">
        <v>2004</v>
      </c>
      <c r="CS87" s="26" t="s">
        <v>2005</v>
      </c>
      <c r="CW87" s="26" t="s">
        <v>2006</v>
      </c>
      <c r="CX87" s="26" t="s">
        <v>162</v>
      </c>
      <c r="CY87" s="26" t="s">
        <v>196</v>
      </c>
      <c r="CZ87" s="26">
        <v>0</v>
      </c>
      <c r="DA87" s="26" t="s">
        <v>150</v>
      </c>
      <c r="DB87" s="26">
        <v>0</v>
      </c>
      <c r="DK87" s="26" t="s">
        <v>150</v>
      </c>
      <c r="DL87" s="26" t="s">
        <v>237</v>
      </c>
      <c r="DM87" s="26" t="s">
        <v>1978</v>
      </c>
      <c r="DN87" s="26" t="s">
        <v>2007</v>
      </c>
      <c r="DO87" s="26" t="s">
        <v>1980</v>
      </c>
      <c r="DP87" s="26" t="s">
        <v>2008</v>
      </c>
      <c r="DR87" s="26" t="s">
        <v>189</v>
      </c>
      <c r="DS87" s="26" t="s">
        <v>189</v>
      </c>
      <c r="DT87" s="26" t="s">
        <v>189</v>
      </c>
      <c r="DU87" s="26" t="s">
        <v>189</v>
      </c>
      <c r="DV87" s="26" t="s">
        <v>203</v>
      </c>
      <c r="DW87" s="26" t="s">
        <v>162</v>
      </c>
      <c r="DX87" s="26" t="s">
        <v>162</v>
      </c>
      <c r="DY87" s="26">
        <v>0</v>
      </c>
      <c r="DZ87" s="26" t="s">
        <v>150</v>
      </c>
      <c r="EA87" s="26" t="s">
        <v>1396</v>
      </c>
      <c r="EB87" s="26" t="s">
        <v>1397</v>
      </c>
      <c r="EH87" s="26" t="s">
        <v>189</v>
      </c>
      <c r="EI87" s="26">
        <v>0.16</v>
      </c>
      <c r="EJ87" s="26">
        <v>20.9104</v>
      </c>
      <c r="EK87" s="26">
        <v>30.87</v>
      </c>
      <c r="EL87" s="26" t="s">
        <v>2009</v>
      </c>
      <c r="EM87" s="26" t="s">
        <v>206</v>
      </c>
      <c r="EN87" s="26" t="s">
        <v>207</v>
      </c>
    </row>
    <row r="88" spans="1:144">
      <c r="A88" s="26" t="s">
        <v>145</v>
      </c>
      <c r="B88" s="26" t="s">
        <v>1452</v>
      </c>
      <c r="C88" s="26" t="s">
        <v>2010</v>
      </c>
      <c r="D88" s="26" t="s">
        <v>148</v>
      </c>
      <c r="E88" s="26" t="s">
        <v>149</v>
      </c>
      <c r="F88" s="26" t="s">
        <v>152</v>
      </c>
      <c r="G88" s="26" t="s">
        <v>151</v>
      </c>
      <c r="H88" s="26" t="s">
        <v>152</v>
      </c>
      <c r="I88" s="26" t="s">
        <v>153</v>
      </c>
      <c r="J88" s="26" t="s">
        <v>154</v>
      </c>
      <c r="K88" s="26" t="s">
        <v>244</v>
      </c>
      <c r="L88" s="26" t="s">
        <v>2011</v>
      </c>
      <c r="M88" s="26" t="s">
        <v>2012</v>
      </c>
      <c r="N88" s="26" t="s">
        <v>2013</v>
      </c>
      <c r="O88" s="26" t="s">
        <v>2014</v>
      </c>
      <c r="P88" s="26" t="s">
        <v>2015</v>
      </c>
      <c r="Q88" s="26" t="s">
        <v>2016</v>
      </c>
      <c r="R88" s="26">
        <v>444.308</v>
      </c>
      <c r="S88" s="26" t="s">
        <v>2017</v>
      </c>
      <c r="T88" s="26">
        <v>438.293</v>
      </c>
      <c r="U88" s="26" t="s">
        <v>217</v>
      </c>
      <c r="V88" s="26" t="s">
        <v>150</v>
      </c>
      <c r="Y88" s="26" t="s">
        <v>2018</v>
      </c>
      <c r="Z88" s="26">
        <v>66.6462</v>
      </c>
      <c r="AA88" s="26">
        <v>0</v>
      </c>
      <c r="AB88" s="26">
        <v>0</v>
      </c>
      <c r="AC88" s="26">
        <v>95</v>
      </c>
      <c r="AD88" s="26" t="s">
        <v>2019</v>
      </c>
      <c r="AE88" s="26" t="s">
        <v>2019</v>
      </c>
      <c r="AF88" s="26" t="s">
        <v>2019</v>
      </c>
      <c r="AG88" s="26" t="s">
        <v>2020</v>
      </c>
      <c r="AI88" s="26" t="s">
        <v>167</v>
      </c>
      <c r="AJ88" s="26" t="s">
        <v>168</v>
      </c>
      <c r="AK88" s="26" t="s">
        <v>169</v>
      </c>
      <c r="AL88" s="26" t="s">
        <v>2021</v>
      </c>
      <c r="AM88" s="26" t="s">
        <v>2022</v>
      </c>
      <c r="AN88" s="26" t="s">
        <v>172</v>
      </c>
      <c r="AO88" s="26" t="s">
        <v>494</v>
      </c>
      <c r="AP88" s="26" t="s">
        <v>162</v>
      </c>
      <c r="AQ88" s="26" t="s">
        <v>2023</v>
      </c>
      <c r="AR88" s="26" t="s">
        <v>2024</v>
      </c>
      <c r="AS88" s="26" t="s">
        <v>721</v>
      </c>
      <c r="AU88" s="26" t="s">
        <v>2025</v>
      </c>
      <c r="AV88" s="26" t="s">
        <v>2025</v>
      </c>
      <c r="AX88" s="26" t="s">
        <v>2026</v>
      </c>
      <c r="AY88" s="26" t="s">
        <v>179</v>
      </c>
      <c r="BC88" s="26" t="s">
        <v>2010</v>
      </c>
      <c r="BD88" s="26" t="s">
        <v>180</v>
      </c>
      <c r="BE88" s="26" t="s">
        <v>181</v>
      </c>
      <c r="BF88" s="26" t="s">
        <v>167</v>
      </c>
      <c r="BH88" s="26" t="s">
        <v>162</v>
      </c>
      <c r="BI88" s="26" t="s">
        <v>182</v>
      </c>
      <c r="BJ88" s="26" t="s">
        <v>2027</v>
      </c>
      <c r="BK88" s="26" t="s">
        <v>184</v>
      </c>
      <c r="BL88" s="26" t="s">
        <v>185</v>
      </c>
      <c r="BM88" s="26" t="s">
        <v>186</v>
      </c>
      <c r="BN88" s="26" t="s">
        <v>162</v>
      </c>
      <c r="BP88" s="26">
        <v>0</v>
      </c>
      <c r="BQ88" s="26" t="s">
        <v>494</v>
      </c>
      <c r="BS88" s="26" t="s">
        <v>230</v>
      </c>
      <c r="BT88" s="26" t="s">
        <v>185</v>
      </c>
      <c r="BV88" s="26">
        <v>71.0896</v>
      </c>
      <c r="BW88" s="26">
        <v>0.16</v>
      </c>
      <c r="BZ88" s="26">
        <v>0</v>
      </c>
      <c r="CA88" s="26" t="s">
        <v>189</v>
      </c>
      <c r="CC88" s="26" t="s">
        <v>162</v>
      </c>
      <c r="CD88" s="26">
        <v>0</v>
      </c>
      <c r="CE88" s="26" t="s">
        <v>190</v>
      </c>
      <c r="CF88" s="26" t="s">
        <v>167</v>
      </c>
      <c r="CG88" s="26" t="s">
        <v>2028</v>
      </c>
      <c r="CI88" s="26" t="s">
        <v>267</v>
      </c>
      <c r="CJ88" s="26">
        <v>444.31</v>
      </c>
      <c r="CK88" s="26">
        <v>0</v>
      </c>
      <c r="CL88" s="26">
        <v>22.22</v>
      </c>
      <c r="CM88" s="26">
        <v>44.23</v>
      </c>
      <c r="CQ88" s="26" t="s">
        <v>437</v>
      </c>
      <c r="CR88" s="26" t="s">
        <v>2029</v>
      </c>
      <c r="CS88" s="26" t="s">
        <v>2030</v>
      </c>
      <c r="CW88" s="26" t="s">
        <v>2031</v>
      </c>
      <c r="CX88" s="26" t="s">
        <v>162</v>
      </c>
      <c r="CY88" s="26" t="s">
        <v>196</v>
      </c>
      <c r="CZ88" s="26">
        <v>0</v>
      </c>
      <c r="DB88" s="26">
        <v>0</v>
      </c>
      <c r="DK88" s="26" t="s">
        <v>150</v>
      </c>
      <c r="DL88" s="26" t="s">
        <v>390</v>
      </c>
      <c r="DM88" s="26" t="s">
        <v>2032</v>
      </c>
      <c r="DN88" s="26" t="s">
        <v>2033</v>
      </c>
      <c r="DO88" s="26" t="s">
        <v>2034</v>
      </c>
      <c r="DP88" s="26" t="s">
        <v>2035</v>
      </c>
      <c r="DR88" s="26" t="s">
        <v>189</v>
      </c>
      <c r="DS88" s="26" t="s">
        <v>189</v>
      </c>
      <c r="DT88" s="26" t="s">
        <v>189</v>
      </c>
      <c r="DU88" s="26" t="s">
        <v>189</v>
      </c>
      <c r="DV88" s="26" t="s">
        <v>203</v>
      </c>
      <c r="DW88" s="26" t="s">
        <v>162</v>
      </c>
      <c r="DX88" s="26" t="s">
        <v>162</v>
      </c>
      <c r="DY88" s="26">
        <v>0</v>
      </c>
      <c r="DZ88" s="26" t="s">
        <v>150</v>
      </c>
      <c r="EH88" s="26" t="s">
        <v>189</v>
      </c>
      <c r="EI88" s="26">
        <v>0.16</v>
      </c>
      <c r="EJ88" s="26">
        <v>71.0896</v>
      </c>
      <c r="EK88" s="26">
        <v>44.23</v>
      </c>
      <c r="EL88" s="26" t="s">
        <v>2036</v>
      </c>
      <c r="EM88" s="26" t="s">
        <v>206</v>
      </c>
      <c r="EN88" s="26" t="s">
        <v>207</v>
      </c>
    </row>
    <row r="89" spans="1:144">
      <c r="A89" s="26" t="s">
        <v>145</v>
      </c>
      <c r="B89" s="26" t="s">
        <v>1556</v>
      </c>
      <c r="C89" s="26" t="s">
        <v>2037</v>
      </c>
      <c r="D89" s="26" t="s">
        <v>148</v>
      </c>
      <c r="E89" s="26" t="s">
        <v>149</v>
      </c>
      <c r="F89" s="26" t="s">
        <v>152</v>
      </c>
      <c r="G89" s="26" t="s">
        <v>151</v>
      </c>
      <c r="H89" s="26" t="s">
        <v>152</v>
      </c>
      <c r="I89" s="26" t="s">
        <v>153</v>
      </c>
      <c r="J89" s="26" t="s">
        <v>154</v>
      </c>
      <c r="K89" s="26" t="s">
        <v>1075</v>
      </c>
      <c r="L89" s="26" t="s">
        <v>2038</v>
      </c>
      <c r="M89" s="26" t="s">
        <v>2039</v>
      </c>
      <c r="N89" s="26" t="s">
        <v>2040</v>
      </c>
      <c r="O89" s="26" t="s">
        <v>2041</v>
      </c>
      <c r="P89" s="26" t="s">
        <v>2042</v>
      </c>
      <c r="Q89" s="26" t="s">
        <v>2043</v>
      </c>
      <c r="R89" s="26">
        <v>216.9969252</v>
      </c>
      <c r="S89" s="26" t="s">
        <v>2044</v>
      </c>
      <c r="T89" s="26">
        <v>89.9353752</v>
      </c>
      <c r="U89" s="26" t="s">
        <v>217</v>
      </c>
      <c r="V89" s="26" t="s">
        <v>150</v>
      </c>
      <c r="Y89" s="26" t="s">
        <v>2045</v>
      </c>
      <c r="Z89" s="26">
        <v>16.2759795</v>
      </c>
      <c r="AA89" s="26">
        <v>0</v>
      </c>
      <c r="AB89" s="26">
        <v>0</v>
      </c>
      <c r="AC89" s="26">
        <v>15</v>
      </c>
      <c r="AD89" s="26" t="s">
        <v>1211</v>
      </c>
      <c r="AE89" s="26" t="s">
        <v>1211</v>
      </c>
      <c r="AF89" s="26" t="s">
        <v>1211</v>
      </c>
      <c r="AG89" s="26" t="s">
        <v>2046</v>
      </c>
      <c r="AH89" s="26" t="s">
        <v>405</v>
      </c>
      <c r="AI89" s="26" t="s">
        <v>167</v>
      </c>
      <c r="AJ89" s="26" t="s">
        <v>797</v>
      </c>
      <c r="AK89" s="26" t="s">
        <v>798</v>
      </c>
      <c r="AL89" s="26" t="s">
        <v>2047</v>
      </c>
      <c r="AM89" s="26" t="s">
        <v>1516</v>
      </c>
      <c r="AN89" s="26" t="s">
        <v>2048</v>
      </c>
      <c r="AO89" s="26" t="s">
        <v>2049</v>
      </c>
      <c r="AP89" s="26" t="s">
        <v>162</v>
      </c>
      <c r="AQ89" s="26" t="s">
        <v>2050</v>
      </c>
      <c r="AR89" s="26" t="s">
        <v>2051</v>
      </c>
      <c r="AS89" s="26" t="s">
        <v>635</v>
      </c>
      <c r="AU89" s="26" t="s">
        <v>2052</v>
      </c>
      <c r="AV89" s="26" t="s">
        <v>150</v>
      </c>
      <c r="AX89" s="26" t="s">
        <v>2053</v>
      </c>
      <c r="AY89" s="26" t="s">
        <v>179</v>
      </c>
      <c r="BC89" s="26" t="s">
        <v>2037</v>
      </c>
      <c r="BD89" s="26" t="s">
        <v>180</v>
      </c>
      <c r="BE89" s="26" t="s">
        <v>181</v>
      </c>
      <c r="BF89" s="26" t="s">
        <v>167</v>
      </c>
      <c r="BH89" s="26" t="s">
        <v>162</v>
      </c>
      <c r="BI89" s="26" t="s">
        <v>807</v>
      </c>
      <c r="BJ89" s="26" t="s">
        <v>2054</v>
      </c>
      <c r="BK89" s="26" t="s">
        <v>264</v>
      </c>
      <c r="BL89" s="26" t="s">
        <v>185</v>
      </c>
      <c r="BM89" s="26" t="s">
        <v>186</v>
      </c>
      <c r="BN89" s="26" t="s">
        <v>162</v>
      </c>
      <c r="BP89" s="26">
        <v>0</v>
      </c>
      <c r="BQ89" s="26" t="s">
        <v>666</v>
      </c>
      <c r="BR89" s="26" t="s">
        <v>667</v>
      </c>
      <c r="BS89" s="26" t="s">
        <v>230</v>
      </c>
      <c r="BT89" s="26" t="s">
        <v>185</v>
      </c>
      <c r="BV89" s="26">
        <v>13.4386</v>
      </c>
      <c r="BW89" s="26">
        <v>0.14</v>
      </c>
      <c r="BZ89" s="26">
        <v>0</v>
      </c>
      <c r="CA89" s="26" t="s">
        <v>189</v>
      </c>
      <c r="CC89" s="26" t="s">
        <v>162</v>
      </c>
      <c r="CD89" s="26">
        <v>0</v>
      </c>
      <c r="CE89" s="26" t="s">
        <v>190</v>
      </c>
      <c r="CF89" s="26" t="s">
        <v>167</v>
      </c>
      <c r="CG89" s="26" t="s">
        <v>2055</v>
      </c>
      <c r="CI89" s="26" t="s">
        <v>1095</v>
      </c>
      <c r="CJ89" s="26">
        <v>95.99</v>
      </c>
      <c r="CK89" s="26">
        <v>0</v>
      </c>
      <c r="CL89" s="26">
        <v>4.8</v>
      </c>
      <c r="CM89" s="26">
        <v>15.21</v>
      </c>
      <c r="CQ89" s="26" t="s">
        <v>437</v>
      </c>
      <c r="CR89" s="26" t="s">
        <v>2056</v>
      </c>
      <c r="CS89" s="26" t="s">
        <v>2057</v>
      </c>
      <c r="CW89" s="26" t="s">
        <v>2058</v>
      </c>
      <c r="CX89" s="26" t="s">
        <v>162</v>
      </c>
      <c r="CY89" s="26" t="s">
        <v>196</v>
      </c>
      <c r="CZ89" s="26">
        <v>0</v>
      </c>
      <c r="DB89" s="26">
        <v>0</v>
      </c>
      <c r="DK89" s="26" t="s">
        <v>150</v>
      </c>
      <c r="DL89" s="26" t="s">
        <v>390</v>
      </c>
      <c r="DM89" s="26" t="s">
        <v>2059</v>
      </c>
      <c r="DN89" s="26" t="s">
        <v>2060</v>
      </c>
      <c r="DO89" s="26" t="s">
        <v>2061</v>
      </c>
      <c r="DP89" s="26" t="s">
        <v>2062</v>
      </c>
      <c r="DR89" s="26" t="s">
        <v>189</v>
      </c>
      <c r="DS89" s="26" t="s">
        <v>189</v>
      </c>
      <c r="DT89" s="26" t="s">
        <v>189</v>
      </c>
      <c r="DU89" s="26" t="s">
        <v>189</v>
      </c>
      <c r="DV89" s="26" t="s">
        <v>203</v>
      </c>
      <c r="DW89" s="26" t="s">
        <v>162</v>
      </c>
      <c r="DX89" s="26" t="s">
        <v>162</v>
      </c>
      <c r="DY89" s="26">
        <v>0</v>
      </c>
      <c r="DZ89" s="26" t="s">
        <v>150</v>
      </c>
      <c r="EH89" s="26" t="s">
        <v>189</v>
      </c>
      <c r="EI89" s="26">
        <v>0.14</v>
      </c>
      <c r="EJ89" s="26">
        <v>13.4386</v>
      </c>
      <c r="EK89" s="26">
        <v>15.21</v>
      </c>
      <c r="EL89" s="26" t="s">
        <v>2063</v>
      </c>
      <c r="EM89" s="26" t="s">
        <v>206</v>
      </c>
      <c r="EN89" s="26" t="s">
        <v>207</v>
      </c>
    </row>
    <row r="90" spans="1:144">
      <c r="A90" s="26" t="s">
        <v>145</v>
      </c>
      <c r="B90" s="26" t="s">
        <v>1556</v>
      </c>
      <c r="C90" s="26" t="s">
        <v>2037</v>
      </c>
      <c r="D90" s="26" t="s">
        <v>148</v>
      </c>
      <c r="E90" s="26" t="s">
        <v>149</v>
      </c>
      <c r="F90" s="26" t="s">
        <v>152</v>
      </c>
      <c r="G90" s="26" t="s">
        <v>151</v>
      </c>
      <c r="H90" s="26" t="s">
        <v>152</v>
      </c>
      <c r="I90" s="26" t="s">
        <v>153</v>
      </c>
      <c r="J90" s="26" t="s">
        <v>154</v>
      </c>
      <c r="K90" s="26" t="s">
        <v>1075</v>
      </c>
      <c r="L90" s="26" t="s">
        <v>1252</v>
      </c>
      <c r="M90" s="26" t="s">
        <v>2039</v>
      </c>
      <c r="O90" s="26" t="s">
        <v>2064</v>
      </c>
      <c r="P90" s="26" t="s">
        <v>2065</v>
      </c>
      <c r="S90" s="26" t="s">
        <v>1081</v>
      </c>
      <c r="T90" s="26">
        <v>114.96045</v>
      </c>
      <c r="U90" s="26" t="s">
        <v>217</v>
      </c>
      <c r="V90" s="26" t="s">
        <v>150</v>
      </c>
      <c r="Y90" s="26" t="s">
        <v>2045</v>
      </c>
      <c r="Z90" s="26">
        <v>16.2759795</v>
      </c>
      <c r="AA90" s="26">
        <v>0</v>
      </c>
      <c r="AB90" s="26">
        <v>0</v>
      </c>
      <c r="AC90" s="26">
        <v>22.9</v>
      </c>
      <c r="AD90" s="26" t="s">
        <v>2066</v>
      </c>
      <c r="AE90" s="26" t="s">
        <v>2066</v>
      </c>
      <c r="AF90" s="26" t="s">
        <v>2066</v>
      </c>
      <c r="AG90" s="26" t="s">
        <v>2067</v>
      </c>
      <c r="AI90" s="26" t="s">
        <v>167</v>
      </c>
      <c r="AJ90" s="26" t="s">
        <v>797</v>
      </c>
      <c r="AK90" s="26" t="s">
        <v>798</v>
      </c>
      <c r="AM90" s="26" t="s">
        <v>2068</v>
      </c>
      <c r="AN90" s="26" t="s">
        <v>172</v>
      </c>
      <c r="AO90" s="26" t="s">
        <v>494</v>
      </c>
      <c r="AP90" s="26" t="s">
        <v>162</v>
      </c>
      <c r="AQ90" s="26" t="s">
        <v>2050</v>
      </c>
      <c r="AR90" s="26" t="s">
        <v>2051</v>
      </c>
      <c r="AS90" s="26" t="s">
        <v>2069</v>
      </c>
      <c r="AU90" s="26" t="s">
        <v>2052</v>
      </c>
      <c r="AV90" s="26" t="s">
        <v>150</v>
      </c>
      <c r="AX90" s="26" t="s">
        <v>2070</v>
      </c>
      <c r="AY90" s="26" t="s">
        <v>179</v>
      </c>
      <c r="BC90" s="26" t="s">
        <v>2037</v>
      </c>
      <c r="BD90" s="26" t="s">
        <v>180</v>
      </c>
      <c r="BE90" s="26" t="s">
        <v>181</v>
      </c>
      <c r="BF90" s="26" t="s">
        <v>167</v>
      </c>
      <c r="BH90" s="26" t="s">
        <v>162</v>
      </c>
      <c r="BI90" s="26" t="s">
        <v>807</v>
      </c>
      <c r="BJ90" s="26" t="s">
        <v>1770</v>
      </c>
      <c r="BK90" s="26" t="s">
        <v>264</v>
      </c>
      <c r="BL90" s="26" t="s">
        <v>185</v>
      </c>
      <c r="BM90" s="26" t="s">
        <v>186</v>
      </c>
      <c r="BN90" s="26" t="s">
        <v>162</v>
      </c>
      <c r="BP90" s="26">
        <v>0</v>
      </c>
      <c r="BQ90" s="26" t="s">
        <v>494</v>
      </c>
      <c r="BS90" s="26" t="s">
        <v>230</v>
      </c>
      <c r="BT90" s="26" t="s">
        <v>185</v>
      </c>
      <c r="BV90" s="26">
        <v>16.9414</v>
      </c>
      <c r="BW90" s="26">
        <v>0.14</v>
      </c>
      <c r="BZ90" s="26">
        <v>0</v>
      </c>
      <c r="CA90" s="26" t="s">
        <v>189</v>
      </c>
      <c r="CC90" s="26" t="s">
        <v>162</v>
      </c>
      <c r="CD90" s="26">
        <v>0</v>
      </c>
      <c r="CE90" s="26" t="s">
        <v>190</v>
      </c>
      <c r="CF90" s="26" t="s">
        <v>195</v>
      </c>
      <c r="CG90" s="26" t="s">
        <v>2071</v>
      </c>
      <c r="CI90" s="26" t="s">
        <v>1095</v>
      </c>
      <c r="CJ90" s="26">
        <v>121.01</v>
      </c>
      <c r="CK90" s="26">
        <v>0</v>
      </c>
      <c r="CL90" s="26">
        <v>6.05</v>
      </c>
      <c r="CM90" s="26">
        <v>25.61</v>
      </c>
      <c r="CQ90" s="26" t="s">
        <v>437</v>
      </c>
      <c r="CR90" s="26" t="s">
        <v>2056</v>
      </c>
      <c r="CS90" s="26" t="s">
        <v>2057</v>
      </c>
      <c r="CW90" s="26" t="s">
        <v>2072</v>
      </c>
      <c r="CX90" s="26" t="s">
        <v>162</v>
      </c>
      <c r="CY90" s="26" t="s">
        <v>196</v>
      </c>
      <c r="CZ90" s="26">
        <v>0</v>
      </c>
      <c r="DB90" s="26">
        <v>0</v>
      </c>
      <c r="DK90" s="26" t="s">
        <v>150</v>
      </c>
      <c r="DL90" s="26" t="s">
        <v>390</v>
      </c>
      <c r="DM90" s="26" t="s">
        <v>2059</v>
      </c>
      <c r="DN90" s="26" t="s">
        <v>2060</v>
      </c>
      <c r="DO90" s="26" t="s">
        <v>2061</v>
      </c>
      <c r="DP90" s="26" t="s">
        <v>2062</v>
      </c>
      <c r="DR90" s="26" t="s">
        <v>189</v>
      </c>
      <c r="DS90" s="26" t="s">
        <v>189</v>
      </c>
      <c r="DT90" s="26" t="s">
        <v>189</v>
      </c>
      <c r="DU90" s="26" t="s">
        <v>189</v>
      </c>
      <c r="DV90" s="26" t="s">
        <v>203</v>
      </c>
      <c r="DW90" s="26" t="s">
        <v>162</v>
      </c>
      <c r="DX90" s="26" t="s">
        <v>162</v>
      </c>
      <c r="DY90" s="26">
        <v>0</v>
      </c>
      <c r="DZ90" s="26" t="s">
        <v>150</v>
      </c>
      <c r="EH90" s="26" t="s">
        <v>189</v>
      </c>
      <c r="EI90" s="26">
        <v>0.14</v>
      </c>
      <c r="EJ90" s="26">
        <v>16.9414</v>
      </c>
      <c r="EK90" s="26">
        <v>25.61</v>
      </c>
      <c r="EL90" s="26" t="s">
        <v>2073</v>
      </c>
      <c r="EM90" s="26" t="s">
        <v>206</v>
      </c>
      <c r="EN90" s="26" t="s">
        <v>207</v>
      </c>
    </row>
    <row r="91" spans="1:144">
      <c r="A91" s="26" t="s">
        <v>145</v>
      </c>
      <c r="B91" s="26" t="s">
        <v>1556</v>
      </c>
      <c r="C91" s="26" t="s">
        <v>2074</v>
      </c>
      <c r="D91" s="26" t="s">
        <v>148</v>
      </c>
      <c r="E91" s="26" t="s">
        <v>149</v>
      </c>
      <c r="F91" s="26" t="s">
        <v>152</v>
      </c>
      <c r="G91" s="26" t="s">
        <v>151</v>
      </c>
      <c r="H91" s="26" t="s">
        <v>152</v>
      </c>
      <c r="I91" s="26" t="s">
        <v>153</v>
      </c>
      <c r="J91" s="26" t="s">
        <v>154</v>
      </c>
      <c r="K91" s="26" t="s">
        <v>474</v>
      </c>
      <c r="L91" s="26" t="s">
        <v>2075</v>
      </c>
      <c r="M91" s="26" t="s">
        <v>2076</v>
      </c>
      <c r="N91" s="26" t="s">
        <v>2077</v>
      </c>
      <c r="O91" s="26" t="s">
        <v>2078</v>
      </c>
      <c r="P91" s="26" t="s">
        <v>2079</v>
      </c>
      <c r="Q91" s="26" t="s">
        <v>2080</v>
      </c>
      <c r="R91" s="26">
        <v>275.09834</v>
      </c>
      <c r="S91" s="26" t="s">
        <v>2081</v>
      </c>
      <c r="T91" s="26">
        <v>269.04779</v>
      </c>
      <c r="U91" s="26" t="s">
        <v>217</v>
      </c>
      <c r="V91" s="26" t="s">
        <v>150</v>
      </c>
      <c r="Y91" s="26" t="s">
        <v>2082</v>
      </c>
      <c r="Z91" s="26">
        <v>41.264751</v>
      </c>
      <c r="AA91" s="26">
        <v>0</v>
      </c>
      <c r="AB91" s="26">
        <v>0</v>
      </c>
      <c r="AC91" s="26">
        <v>50</v>
      </c>
      <c r="AD91" s="26" t="s">
        <v>2083</v>
      </c>
      <c r="AE91" s="26" t="s">
        <v>2083</v>
      </c>
      <c r="AF91" s="26" t="s">
        <v>2083</v>
      </c>
      <c r="AG91" s="26" t="s">
        <v>2084</v>
      </c>
      <c r="AH91" s="26" t="s">
        <v>2085</v>
      </c>
      <c r="AI91" s="26" t="s">
        <v>167</v>
      </c>
      <c r="AJ91" s="26" t="s">
        <v>797</v>
      </c>
      <c r="AK91" s="26" t="s">
        <v>798</v>
      </c>
      <c r="AL91" s="26" t="s">
        <v>2086</v>
      </c>
      <c r="AM91" s="26" t="s">
        <v>2087</v>
      </c>
      <c r="AN91" s="26" t="s">
        <v>172</v>
      </c>
      <c r="AO91" s="26" t="s">
        <v>2088</v>
      </c>
      <c r="AP91" s="26" t="s">
        <v>162</v>
      </c>
      <c r="AQ91" s="26" t="s">
        <v>2089</v>
      </c>
      <c r="AR91" s="26" t="s">
        <v>2090</v>
      </c>
      <c r="AS91" s="26" t="s">
        <v>1439</v>
      </c>
      <c r="AU91" s="26" t="s">
        <v>2091</v>
      </c>
      <c r="AV91" s="26" t="s">
        <v>150</v>
      </c>
      <c r="AX91" s="26" t="s">
        <v>2092</v>
      </c>
      <c r="AY91" s="26" t="s">
        <v>179</v>
      </c>
      <c r="BC91" s="26" t="s">
        <v>2074</v>
      </c>
      <c r="BD91" s="26" t="s">
        <v>180</v>
      </c>
      <c r="BE91" s="26" t="s">
        <v>181</v>
      </c>
      <c r="BF91" s="26" t="s">
        <v>167</v>
      </c>
      <c r="BH91" s="26" t="s">
        <v>162</v>
      </c>
      <c r="BI91" s="26" t="s">
        <v>807</v>
      </c>
      <c r="BJ91" s="26" t="s">
        <v>2093</v>
      </c>
      <c r="BK91" s="26" t="s">
        <v>184</v>
      </c>
      <c r="BL91" s="26" t="s">
        <v>185</v>
      </c>
      <c r="BM91" s="26" t="s">
        <v>186</v>
      </c>
      <c r="BN91" s="26" t="s">
        <v>162</v>
      </c>
      <c r="BP91" s="26">
        <v>0</v>
      </c>
      <c r="BQ91" s="26" t="s">
        <v>2094</v>
      </c>
      <c r="BS91" s="26" t="s">
        <v>230</v>
      </c>
      <c r="BT91" s="26" t="s">
        <v>185</v>
      </c>
      <c r="BV91" s="26">
        <v>44.016</v>
      </c>
      <c r="BW91" s="26">
        <v>0.16</v>
      </c>
      <c r="BZ91" s="26">
        <v>0</v>
      </c>
      <c r="CA91" s="26" t="s">
        <v>189</v>
      </c>
      <c r="CC91" s="26" t="s">
        <v>162</v>
      </c>
      <c r="CD91" s="26">
        <v>0</v>
      </c>
      <c r="CE91" s="26" t="s">
        <v>190</v>
      </c>
      <c r="CF91" s="26" t="s">
        <v>167</v>
      </c>
      <c r="CG91" s="26" t="s">
        <v>2095</v>
      </c>
      <c r="CI91" s="26" t="s">
        <v>496</v>
      </c>
      <c r="CJ91" s="26">
        <v>275.1</v>
      </c>
      <c r="CK91" s="26">
        <v>0</v>
      </c>
      <c r="CL91" s="26">
        <v>13.76</v>
      </c>
      <c r="CM91" s="26">
        <v>54.62</v>
      </c>
      <c r="CQ91" s="26" t="s">
        <v>605</v>
      </c>
      <c r="CR91" s="26" t="s">
        <v>2096</v>
      </c>
      <c r="CS91" s="26" t="s">
        <v>2097</v>
      </c>
      <c r="CW91" s="26" t="s">
        <v>2098</v>
      </c>
      <c r="CX91" s="26" t="s">
        <v>162</v>
      </c>
      <c r="CY91" s="26" t="s">
        <v>196</v>
      </c>
      <c r="CZ91" s="26">
        <v>0</v>
      </c>
      <c r="DB91" s="26">
        <v>0</v>
      </c>
      <c r="DK91" s="26" t="s">
        <v>150</v>
      </c>
      <c r="DL91" s="26" t="s">
        <v>1014</v>
      </c>
      <c r="DM91" s="26" t="s">
        <v>2099</v>
      </c>
      <c r="DN91" s="26" t="s">
        <v>2100</v>
      </c>
      <c r="DO91" s="26" t="s">
        <v>2101</v>
      </c>
      <c r="DP91" s="26" t="s">
        <v>2102</v>
      </c>
      <c r="DR91" s="26" t="s">
        <v>189</v>
      </c>
      <c r="DS91" s="26" t="s">
        <v>189</v>
      </c>
      <c r="DT91" s="26" t="s">
        <v>189</v>
      </c>
      <c r="DU91" s="26" t="s">
        <v>189</v>
      </c>
      <c r="DV91" s="26" t="s">
        <v>203</v>
      </c>
      <c r="DW91" s="26" t="s">
        <v>162</v>
      </c>
      <c r="DX91" s="26" t="s">
        <v>162</v>
      </c>
      <c r="DY91" s="26">
        <v>0</v>
      </c>
      <c r="DZ91" s="26" t="s">
        <v>150</v>
      </c>
      <c r="EH91" s="26" t="s">
        <v>189</v>
      </c>
      <c r="EI91" s="26">
        <v>0.16</v>
      </c>
      <c r="EJ91" s="26">
        <v>44.016</v>
      </c>
      <c r="EK91" s="26">
        <v>54.62</v>
      </c>
      <c r="EL91" s="26" t="s">
        <v>2103</v>
      </c>
      <c r="EM91" s="26" t="s">
        <v>206</v>
      </c>
      <c r="EN91" s="26" t="s">
        <v>207</v>
      </c>
    </row>
    <row r="92" spans="1:144">
      <c r="A92" s="26" t="s">
        <v>145</v>
      </c>
      <c r="B92" s="26" t="s">
        <v>1556</v>
      </c>
      <c r="C92" s="26" t="s">
        <v>2104</v>
      </c>
      <c r="D92" s="26" t="s">
        <v>148</v>
      </c>
      <c r="E92" s="26" t="s">
        <v>149</v>
      </c>
      <c r="F92" s="26" t="s">
        <v>152</v>
      </c>
      <c r="G92" s="26" t="s">
        <v>151</v>
      </c>
      <c r="H92" s="26" t="s">
        <v>152</v>
      </c>
      <c r="I92" s="26" t="s">
        <v>153</v>
      </c>
      <c r="J92" s="26" t="s">
        <v>154</v>
      </c>
      <c r="K92" s="26" t="s">
        <v>244</v>
      </c>
      <c r="L92" s="26" t="s">
        <v>283</v>
      </c>
      <c r="M92" s="26" t="s">
        <v>2105</v>
      </c>
      <c r="N92" s="26" t="s">
        <v>2106</v>
      </c>
      <c r="O92" s="26" t="s">
        <v>2107</v>
      </c>
      <c r="P92" s="26" t="s">
        <v>2108</v>
      </c>
      <c r="Q92" s="26" t="s">
        <v>2109</v>
      </c>
      <c r="R92" s="26">
        <v>244.03885</v>
      </c>
      <c r="S92" s="26" t="s">
        <v>2110</v>
      </c>
      <c r="T92" s="26">
        <v>237.9883</v>
      </c>
      <c r="U92" s="26" t="s">
        <v>217</v>
      </c>
      <c r="V92" s="26" t="s">
        <v>150</v>
      </c>
      <c r="Y92" s="26" t="s">
        <v>2111</v>
      </c>
      <c r="Z92" s="26">
        <v>36.6058275</v>
      </c>
      <c r="AA92" s="26">
        <v>0</v>
      </c>
      <c r="AB92" s="26">
        <v>0</v>
      </c>
      <c r="AC92" s="26">
        <v>48</v>
      </c>
      <c r="AD92" s="26" t="s">
        <v>2112</v>
      </c>
      <c r="AE92" s="26" t="s">
        <v>2112</v>
      </c>
      <c r="AF92" s="26" t="s">
        <v>2112</v>
      </c>
      <c r="AG92" s="26" t="s">
        <v>2113</v>
      </c>
      <c r="AH92" s="26" t="s">
        <v>2114</v>
      </c>
      <c r="AI92" s="26" t="s">
        <v>167</v>
      </c>
      <c r="AJ92" s="26" t="s">
        <v>168</v>
      </c>
      <c r="AK92" s="26" t="s">
        <v>169</v>
      </c>
      <c r="AL92" s="26" t="s">
        <v>2115</v>
      </c>
      <c r="AM92" s="26" t="s">
        <v>2116</v>
      </c>
      <c r="AN92" s="26" t="s">
        <v>172</v>
      </c>
      <c r="AO92" s="26" t="s">
        <v>1967</v>
      </c>
      <c r="AP92" s="26" t="s">
        <v>162</v>
      </c>
      <c r="AQ92" s="26" t="s">
        <v>2117</v>
      </c>
      <c r="AR92" s="26" t="s">
        <v>2118</v>
      </c>
      <c r="AS92" s="26" t="s">
        <v>349</v>
      </c>
      <c r="AU92" s="26" t="s">
        <v>2119</v>
      </c>
      <c r="AV92" s="26" t="s">
        <v>2119</v>
      </c>
      <c r="AX92" s="26" t="s">
        <v>2120</v>
      </c>
      <c r="AY92" s="26" t="s">
        <v>179</v>
      </c>
      <c r="BC92" s="26" t="s">
        <v>2104</v>
      </c>
      <c r="BD92" s="26" t="s">
        <v>180</v>
      </c>
      <c r="BE92" s="26" t="s">
        <v>181</v>
      </c>
      <c r="BF92" s="26" t="s">
        <v>167</v>
      </c>
      <c r="BH92" s="26" t="s">
        <v>162</v>
      </c>
      <c r="BI92" s="26" t="s">
        <v>182</v>
      </c>
      <c r="BJ92" s="26" t="s">
        <v>2121</v>
      </c>
      <c r="BK92" s="26" t="s">
        <v>184</v>
      </c>
      <c r="BL92" s="26" t="s">
        <v>185</v>
      </c>
      <c r="BM92" s="26" t="s">
        <v>186</v>
      </c>
      <c r="BN92" s="26" t="s">
        <v>162</v>
      </c>
      <c r="BP92" s="26">
        <v>0</v>
      </c>
      <c r="BQ92" s="26" t="s">
        <v>776</v>
      </c>
      <c r="BS92" s="26" t="s">
        <v>354</v>
      </c>
      <c r="BT92" s="26" t="s">
        <v>185</v>
      </c>
      <c r="BV92" s="26">
        <v>39.0464</v>
      </c>
      <c r="BW92" s="26">
        <v>0.16</v>
      </c>
      <c r="BZ92" s="26">
        <v>0</v>
      </c>
      <c r="CA92" s="26" t="s">
        <v>189</v>
      </c>
      <c r="CC92" s="26" t="s">
        <v>162</v>
      </c>
      <c r="CD92" s="26">
        <v>0</v>
      </c>
      <c r="CE92" s="26" t="s">
        <v>190</v>
      </c>
      <c r="CF92" s="26" t="s">
        <v>167</v>
      </c>
      <c r="CG92" s="26" t="s">
        <v>2122</v>
      </c>
      <c r="CI92" s="26" t="s">
        <v>267</v>
      </c>
      <c r="CJ92" s="26">
        <v>244.04</v>
      </c>
      <c r="CK92" s="26">
        <v>0</v>
      </c>
      <c r="CL92" s="26">
        <v>12.2</v>
      </c>
      <c r="CM92" s="26">
        <v>37.11</v>
      </c>
      <c r="CQ92" s="26" t="s">
        <v>192</v>
      </c>
      <c r="CR92" s="26" t="s">
        <v>2123</v>
      </c>
      <c r="CS92" s="26" t="s">
        <v>2124</v>
      </c>
      <c r="CW92" s="26" t="s">
        <v>2125</v>
      </c>
      <c r="CX92" s="26" t="s">
        <v>167</v>
      </c>
      <c r="CY92" s="26" t="s">
        <v>196</v>
      </c>
      <c r="CZ92" s="26">
        <v>0</v>
      </c>
      <c r="DB92" s="26">
        <v>0</v>
      </c>
      <c r="DK92" s="26" t="s">
        <v>150</v>
      </c>
      <c r="DL92" s="26" t="s">
        <v>581</v>
      </c>
      <c r="DM92" s="26" t="s">
        <v>2126</v>
      </c>
      <c r="DN92" s="26" t="s">
        <v>2127</v>
      </c>
      <c r="DO92" s="26" t="s">
        <v>2128</v>
      </c>
      <c r="DP92" s="26" t="s">
        <v>2129</v>
      </c>
      <c r="DR92" s="26" t="s">
        <v>189</v>
      </c>
      <c r="DS92" s="26" t="s">
        <v>189</v>
      </c>
      <c r="DT92" s="26" t="s">
        <v>189</v>
      </c>
      <c r="DU92" s="26" t="s">
        <v>189</v>
      </c>
      <c r="DV92" s="26" t="s">
        <v>203</v>
      </c>
      <c r="DW92" s="26" t="s">
        <v>162</v>
      </c>
      <c r="DX92" s="26" t="s">
        <v>162</v>
      </c>
      <c r="DY92" s="26">
        <v>0</v>
      </c>
      <c r="DZ92" s="26" t="s">
        <v>150</v>
      </c>
      <c r="EH92" s="26" t="s">
        <v>189</v>
      </c>
      <c r="EI92" s="26">
        <v>0.16</v>
      </c>
      <c r="EJ92" s="26">
        <v>39.0464</v>
      </c>
      <c r="EK92" s="26">
        <v>37.11</v>
      </c>
      <c r="EL92" s="26" t="s">
        <v>2130</v>
      </c>
      <c r="EM92" s="26" t="s">
        <v>206</v>
      </c>
      <c r="EN92" s="26" t="s">
        <v>207</v>
      </c>
    </row>
    <row r="93" spans="1:144">
      <c r="A93" s="26" t="s">
        <v>145</v>
      </c>
      <c r="B93" s="26" t="s">
        <v>1556</v>
      </c>
      <c r="C93" s="26" t="s">
        <v>2131</v>
      </c>
      <c r="D93" s="26" t="s">
        <v>148</v>
      </c>
      <c r="E93" s="26" t="s">
        <v>149</v>
      </c>
      <c r="F93" s="26" t="s">
        <v>152</v>
      </c>
      <c r="G93" s="26" t="s">
        <v>151</v>
      </c>
      <c r="H93" s="26" t="s">
        <v>152</v>
      </c>
      <c r="I93" s="26" t="s">
        <v>153</v>
      </c>
      <c r="J93" s="26" t="s">
        <v>154</v>
      </c>
      <c r="K93" s="26" t="s">
        <v>244</v>
      </c>
      <c r="L93" s="26" t="s">
        <v>707</v>
      </c>
      <c r="M93" s="26" t="s">
        <v>2132</v>
      </c>
      <c r="N93" s="26" t="s">
        <v>2133</v>
      </c>
      <c r="O93" s="26" t="s">
        <v>2134</v>
      </c>
      <c r="P93" s="26" t="s">
        <v>2135</v>
      </c>
      <c r="Q93" s="26" t="s">
        <v>2136</v>
      </c>
      <c r="R93" s="26">
        <v>140.77613</v>
      </c>
      <c r="S93" s="26" t="s">
        <v>1802</v>
      </c>
      <c r="T93" s="26">
        <v>134.72558</v>
      </c>
      <c r="U93" s="26" t="s">
        <v>217</v>
      </c>
      <c r="V93" s="26" t="s">
        <v>150</v>
      </c>
      <c r="Y93" s="26" t="s">
        <v>2137</v>
      </c>
      <c r="Z93" s="26">
        <v>21.1164195</v>
      </c>
      <c r="AA93" s="26">
        <v>0</v>
      </c>
      <c r="AB93" s="26">
        <v>0</v>
      </c>
      <c r="AC93" s="26">
        <v>21</v>
      </c>
      <c r="AD93" s="26" t="s">
        <v>2138</v>
      </c>
      <c r="AE93" s="26" t="s">
        <v>2138</v>
      </c>
      <c r="AF93" s="26" t="s">
        <v>2138</v>
      </c>
      <c r="AG93" s="26" t="s">
        <v>2139</v>
      </c>
      <c r="AH93" s="26" t="s">
        <v>2140</v>
      </c>
      <c r="AI93" s="26" t="s">
        <v>167</v>
      </c>
      <c r="AJ93" s="26" t="s">
        <v>168</v>
      </c>
      <c r="AK93" s="26" t="s">
        <v>169</v>
      </c>
      <c r="AL93" s="26" t="s">
        <v>1493</v>
      </c>
      <c r="AM93" s="26" t="s">
        <v>2141</v>
      </c>
      <c r="AN93" s="26" t="s">
        <v>172</v>
      </c>
      <c r="AO93" s="26" t="s">
        <v>2142</v>
      </c>
      <c r="AP93" s="26" t="s">
        <v>162</v>
      </c>
      <c r="AQ93" s="26" t="s">
        <v>2143</v>
      </c>
      <c r="AR93" s="26" t="s">
        <v>2144</v>
      </c>
      <c r="AS93" s="26" t="s">
        <v>859</v>
      </c>
      <c r="AU93" s="26" t="s">
        <v>2145</v>
      </c>
      <c r="AV93" s="26" t="s">
        <v>2145</v>
      </c>
      <c r="AX93" s="26" t="s">
        <v>2146</v>
      </c>
      <c r="AY93" s="26" t="s">
        <v>179</v>
      </c>
      <c r="BC93" s="26" t="s">
        <v>2131</v>
      </c>
      <c r="BD93" s="26" t="s">
        <v>180</v>
      </c>
      <c r="BE93" s="26" t="s">
        <v>181</v>
      </c>
      <c r="BF93" s="26" t="s">
        <v>167</v>
      </c>
      <c r="BH93" s="26" t="s">
        <v>162</v>
      </c>
      <c r="BI93" s="26" t="s">
        <v>182</v>
      </c>
      <c r="BJ93" s="26" t="s">
        <v>1416</v>
      </c>
      <c r="BK93" s="26" t="s">
        <v>184</v>
      </c>
      <c r="BL93" s="26" t="s">
        <v>185</v>
      </c>
      <c r="BM93" s="26" t="s">
        <v>186</v>
      </c>
      <c r="BN93" s="26" t="s">
        <v>162</v>
      </c>
      <c r="BP93" s="26">
        <v>0</v>
      </c>
      <c r="BR93" s="26" t="s">
        <v>385</v>
      </c>
      <c r="BS93" s="26" t="s">
        <v>354</v>
      </c>
      <c r="BT93" s="26" t="s">
        <v>185</v>
      </c>
      <c r="BV93" s="26">
        <v>22.5248</v>
      </c>
      <c r="BW93" s="26">
        <v>0.16</v>
      </c>
      <c r="BZ93" s="26">
        <v>0</v>
      </c>
      <c r="CA93" s="26" t="s">
        <v>189</v>
      </c>
      <c r="CC93" s="26" t="s">
        <v>162</v>
      </c>
      <c r="CD93" s="26">
        <v>0</v>
      </c>
      <c r="CE93" s="26" t="s">
        <v>190</v>
      </c>
      <c r="CF93" s="26" t="s">
        <v>167</v>
      </c>
      <c r="CG93" s="26" t="s">
        <v>2147</v>
      </c>
      <c r="CI93" s="26" t="s">
        <v>267</v>
      </c>
      <c r="CJ93" s="26">
        <v>140.78</v>
      </c>
      <c r="CK93" s="26">
        <v>0</v>
      </c>
      <c r="CL93" s="26">
        <v>7.04</v>
      </c>
      <c r="CM93" s="26">
        <v>21.78</v>
      </c>
      <c r="CQ93" s="26" t="s">
        <v>437</v>
      </c>
      <c r="CR93" s="26" t="s">
        <v>2148</v>
      </c>
      <c r="CS93" s="26" t="s">
        <v>2149</v>
      </c>
      <c r="CW93" s="26" t="s">
        <v>2150</v>
      </c>
      <c r="CX93" s="26" t="s">
        <v>162</v>
      </c>
      <c r="CY93" s="26" t="s">
        <v>196</v>
      </c>
      <c r="CZ93" s="26">
        <v>0</v>
      </c>
      <c r="DA93" s="26" t="s">
        <v>150</v>
      </c>
      <c r="DB93" s="26">
        <v>0</v>
      </c>
      <c r="DK93" s="26" t="s">
        <v>150</v>
      </c>
      <c r="DL93" s="26" t="s">
        <v>2151</v>
      </c>
      <c r="DM93" s="26" t="s">
        <v>2152</v>
      </c>
      <c r="DN93" s="26" t="s">
        <v>2153</v>
      </c>
      <c r="DO93" s="26" t="s">
        <v>2154</v>
      </c>
      <c r="DP93" s="26" t="s">
        <v>2155</v>
      </c>
      <c r="DR93" s="26" t="s">
        <v>189</v>
      </c>
      <c r="DS93" s="26" t="s">
        <v>189</v>
      </c>
      <c r="DT93" s="26" t="s">
        <v>189</v>
      </c>
      <c r="DU93" s="26" t="s">
        <v>189</v>
      </c>
      <c r="DV93" s="26" t="s">
        <v>203</v>
      </c>
      <c r="DW93" s="26" t="s">
        <v>162</v>
      </c>
      <c r="DX93" s="26" t="s">
        <v>162</v>
      </c>
      <c r="DY93" s="26">
        <v>0</v>
      </c>
      <c r="DZ93" s="26" t="s">
        <v>150</v>
      </c>
      <c r="EH93" s="26" t="s">
        <v>189</v>
      </c>
      <c r="EI93" s="26">
        <v>0.16</v>
      </c>
      <c r="EJ93" s="26">
        <v>22.5248</v>
      </c>
      <c r="EK93" s="26">
        <v>21.78</v>
      </c>
      <c r="EL93" s="26" t="s">
        <v>2156</v>
      </c>
      <c r="EM93" s="26" t="s">
        <v>206</v>
      </c>
      <c r="EN93" s="26" t="s">
        <v>207</v>
      </c>
    </row>
    <row r="94" spans="1:144">
      <c r="A94" s="26" t="s">
        <v>145</v>
      </c>
      <c r="B94" s="26" t="s">
        <v>1556</v>
      </c>
      <c r="C94" s="26" t="s">
        <v>2157</v>
      </c>
      <c r="D94" s="26" t="s">
        <v>148</v>
      </c>
      <c r="E94" s="26" t="s">
        <v>149</v>
      </c>
      <c r="F94" s="26" t="s">
        <v>152</v>
      </c>
      <c r="G94" s="26" t="s">
        <v>151</v>
      </c>
      <c r="H94" s="26" t="s">
        <v>152</v>
      </c>
      <c r="I94" s="26" t="s">
        <v>153</v>
      </c>
      <c r="J94" s="26" t="s">
        <v>154</v>
      </c>
      <c r="K94" s="26" t="s">
        <v>244</v>
      </c>
      <c r="L94" s="26" t="s">
        <v>425</v>
      </c>
      <c r="M94" s="26" t="s">
        <v>2158</v>
      </c>
      <c r="N94" s="26" t="s">
        <v>2159</v>
      </c>
      <c r="O94" s="26" t="s">
        <v>2160</v>
      </c>
      <c r="P94" s="26" t="s">
        <v>2161</v>
      </c>
      <c r="Q94" s="26" t="s">
        <v>2162</v>
      </c>
      <c r="R94" s="26">
        <v>428.37894</v>
      </c>
      <c r="S94" s="26" t="s">
        <v>899</v>
      </c>
      <c r="T94" s="26">
        <v>232.34112</v>
      </c>
      <c r="U94" s="26" t="s">
        <v>217</v>
      </c>
      <c r="V94" s="26" t="s">
        <v>150</v>
      </c>
      <c r="Y94" s="26" t="s">
        <v>2163</v>
      </c>
      <c r="Z94" s="26">
        <v>32.1284205</v>
      </c>
      <c r="AA94" s="26">
        <v>0</v>
      </c>
      <c r="AB94" s="26">
        <v>0</v>
      </c>
      <c r="AC94" s="26">
        <v>41</v>
      </c>
      <c r="AD94" s="26" t="s">
        <v>429</v>
      </c>
      <c r="AE94" s="26" t="s">
        <v>429</v>
      </c>
      <c r="AF94" s="26" t="s">
        <v>429</v>
      </c>
      <c r="AG94" s="26" t="s">
        <v>2164</v>
      </c>
      <c r="AI94" s="26" t="s">
        <v>167</v>
      </c>
      <c r="AJ94" s="26" t="s">
        <v>168</v>
      </c>
      <c r="AK94" s="26" t="s">
        <v>169</v>
      </c>
      <c r="AL94" s="26" t="s">
        <v>2165</v>
      </c>
      <c r="AM94" s="26" t="s">
        <v>444</v>
      </c>
      <c r="AN94" s="26" t="s">
        <v>172</v>
      </c>
      <c r="AO94" s="26" t="s">
        <v>432</v>
      </c>
      <c r="AP94" s="26" t="s">
        <v>162</v>
      </c>
      <c r="AQ94" s="26" t="s">
        <v>2166</v>
      </c>
      <c r="AR94" s="26" t="s">
        <v>2167</v>
      </c>
      <c r="AS94" s="26" t="s">
        <v>433</v>
      </c>
      <c r="AU94" s="26" t="s">
        <v>2168</v>
      </c>
      <c r="AV94" s="26" t="s">
        <v>2168</v>
      </c>
      <c r="AX94" s="26" t="s">
        <v>445</v>
      </c>
      <c r="AY94" s="26" t="s">
        <v>179</v>
      </c>
      <c r="BC94" s="26" t="s">
        <v>2157</v>
      </c>
      <c r="BD94" s="26" t="s">
        <v>180</v>
      </c>
      <c r="BE94" s="26" t="s">
        <v>181</v>
      </c>
      <c r="BF94" s="26" t="s">
        <v>167</v>
      </c>
      <c r="BH94" s="26" t="s">
        <v>162</v>
      </c>
      <c r="BI94" s="26" t="s">
        <v>182</v>
      </c>
      <c r="BJ94" s="26" t="s">
        <v>1720</v>
      </c>
      <c r="BK94" s="26" t="s">
        <v>264</v>
      </c>
      <c r="BL94" s="26" t="s">
        <v>185</v>
      </c>
      <c r="BM94" s="26" t="s">
        <v>186</v>
      </c>
      <c r="BN94" s="26" t="s">
        <v>162</v>
      </c>
      <c r="BP94" s="26">
        <v>0</v>
      </c>
      <c r="BQ94" s="26" t="s">
        <v>432</v>
      </c>
      <c r="BS94" s="26" t="s">
        <v>230</v>
      </c>
      <c r="BT94" s="26" t="s">
        <v>185</v>
      </c>
      <c r="BV94" s="26">
        <v>38.1424</v>
      </c>
      <c r="BW94" s="26">
        <v>0.16</v>
      </c>
      <c r="BZ94" s="26">
        <v>0</v>
      </c>
      <c r="CA94" s="26" t="s">
        <v>189</v>
      </c>
      <c r="CC94" s="26" t="s">
        <v>162</v>
      </c>
      <c r="CD94" s="26">
        <v>0</v>
      </c>
      <c r="CE94" s="26" t="s">
        <v>190</v>
      </c>
      <c r="CF94" s="26" t="s">
        <v>195</v>
      </c>
      <c r="CG94" s="26" t="s">
        <v>446</v>
      </c>
      <c r="CI94" s="26" t="s">
        <v>267</v>
      </c>
      <c r="CJ94" s="26">
        <v>238.39</v>
      </c>
      <c r="CK94" s="26">
        <v>0</v>
      </c>
      <c r="CL94" s="26">
        <v>11.92</v>
      </c>
      <c r="CM94" s="26">
        <v>49.58</v>
      </c>
      <c r="CQ94" s="26" t="s">
        <v>437</v>
      </c>
      <c r="CR94" s="26" t="s">
        <v>2169</v>
      </c>
      <c r="CS94" s="26" t="s">
        <v>2170</v>
      </c>
      <c r="CW94" s="26" t="s">
        <v>447</v>
      </c>
      <c r="CX94" s="26" t="s">
        <v>167</v>
      </c>
      <c r="CY94" s="26" t="s">
        <v>196</v>
      </c>
      <c r="CZ94" s="26">
        <v>0</v>
      </c>
      <c r="DB94" s="26">
        <v>0</v>
      </c>
      <c r="DK94" s="26" t="s">
        <v>150</v>
      </c>
      <c r="DL94" s="26" t="s">
        <v>1391</v>
      </c>
      <c r="DM94" s="26" t="s">
        <v>2171</v>
      </c>
      <c r="DN94" s="26" t="s">
        <v>2172</v>
      </c>
      <c r="DO94" s="26" t="s">
        <v>2154</v>
      </c>
      <c r="DP94" s="26" t="s">
        <v>2173</v>
      </c>
      <c r="DR94" s="26" t="s">
        <v>189</v>
      </c>
      <c r="DS94" s="26" t="s">
        <v>189</v>
      </c>
      <c r="DT94" s="26" t="s">
        <v>189</v>
      </c>
      <c r="DU94" s="26" t="s">
        <v>189</v>
      </c>
      <c r="DV94" s="26" t="s">
        <v>203</v>
      </c>
      <c r="DW94" s="26" t="s">
        <v>162</v>
      </c>
      <c r="DX94" s="26" t="s">
        <v>162</v>
      </c>
      <c r="DY94" s="26">
        <v>0</v>
      </c>
      <c r="DZ94" s="26" t="s">
        <v>150</v>
      </c>
      <c r="EH94" s="26" t="s">
        <v>189</v>
      </c>
      <c r="EI94" s="26">
        <v>0.16</v>
      </c>
      <c r="EJ94" s="26">
        <v>38.1424</v>
      </c>
      <c r="EK94" s="26">
        <v>49.58</v>
      </c>
      <c r="EL94" s="26" t="s">
        <v>2174</v>
      </c>
      <c r="EM94" s="26" t="s">
        <v>206</v>
      </c>
      <c r="EN94" s="26" t="s">
        <v>207</v>
      </c>
    </row>
    <row r="95" spans="1:144">
      <c r="A95" s="26" t="s">
        <v>145</v>
      </c>
      <c r="B95" s="26" t="s">
        <v>1556</v>
      </c>
      <c r="C95" s="26" t="s">
        <v>2157</v>
      </c>
      <c r="D95" s="26" t="s">
        <v>148</v>
      </c>
      <c r="E95" s="26" t="s">
        <v>149</v>
      </c>
      <c r="F95" s="26" t="s">
        <v>152</v>
      </c>
      <c r="G95" s="26" t="s">
        <v>151</v>
      </c>
      <c r="H95" s="26" t="s">
        <v>152</v>
      </c>
      <c r="I95" s="26" t="s">
        <v>153</v>
      </c>
      <c r="J95" s="26" t="s">
        <v>154</v>
      </c>
      <c r="K95" s="26" t="s">
        <v>244</v>
      </c>
      <c r="L95" s="26" t="s">
        <v>283</v>
      </c>
      <c r="M95" s="26" t="s">
        <v>2158</v>
      </c>
      <c r="O95" s="26" t="s">
        <v>2175</v>
      </c>
      <c r="P95" s="26" t="s">
        <v>2176</v>
      </c>
      <c r="S95" s="26" t="s">
        <v>376</v>
      </c>
      <c r="T95" s="26">
        <v>183.93672</v>
      </c>
      <c r="U95" s="26" t="s">
        <v>217</v>
      </c>
      <c r="V95" s="26" t="s">
        <v>150</v>
      </c>
      <c r="Y95" s="26" t="s">
        <v>2163</v>
      </c>
      <c r="Z95" s="26">
        <v>32.1284205</v>
      </c>
      <c r="AA95" s="26">
        <v>0</v>
      </c>
      <c r="AB95" s="26">
        <v>0</v>
      </c>
      <c r="AC95" s="26">
        <v>46</v>
      </c>
      <c r="AD95" s="26" t="s">
        <v>2177</v>
      </c>
      <c r="AE95" s="26" t="s">
        <v>2177</v>
      </c>
      <c r="AF95" s="26" t="s">
        <v>2177</v>
      </c>
      <c r="AG95" s="26" t="s">
        <v>2178</v>
      </c>
      <c r="AI95" s="26" t="s">
        <v>167</v>
      </c>
      <c r="AJ95" s="26" t="s">
        <v>168</v>
      </c>
      <c r="AK95" s="26" t="s">
        <v>169</v>
      </c>
      <c r="AM95" s="26" t="s">
        <v>2179</v>
      </c>
      <c r="AN95" s="26" t="s">
        <v>2048</v>
      </c>
      <c r="AO95" s="26" t="s">
        <v>983</v>
      </c>
      <c r="AP95" s="26" t="s">
        <v>162</v>
      </c>
      <c r="AQ95" s="26" t="s">
        <v>2166</v>
      </c>
      <c r="AR95" s="26" t="s">
        <v>2167</v>
      </c>
      <c r="AS95" s="26" t="s">
        <v>721</v>
      </c>
      <c r="AU95" s="26" t="s">
        <v>2168</v>
      </c>
      <c r="AV95" s="26" t="s">
        <v>2168</v>
      </c>
      <c r="AX95" s="26" t="s">
        <v>2180</v>
      </c>
      <c r="AY95" s="26" t="s">
        <v>179</v>
      </c>
      <c r="BC95" s="26" t="s">
        <v>2157</v>
      </c>
      <c r="BD95" s="26" t="s">
        <v>180</v>
      </c>
      <c r="BE95" s="26" t="s">
        <v>181</v>
      </c>
      <c r="BF95" s="26" t="s">
        <v>167</v>
      </c>
      <c r="BH95" s="26" t="s">
        <v>162</v>
      </c>
      <c r="BI95" s="26" t="s">
        <v>182</v>
      </c>
      <c r="BJ95" s="26" t="s">
        <v>2181</v>
      </c>
      <c r="BK95" s="26" t="s">
        <v>264</v>
      </c>
      <c r="BL95" s="26" t="s">
        <v>185</v>
      </c>
      <c r="BM95" s="26" t="s">
        <v>186</v>
      </c>
      <c r="BN95" s="26" t="s">
        <v>162</v>
      </c>
      <c r="BP95" s="26">
        <v>0</v>
      </c>
      <c r="BR95" s="26" t="s">
        <v>385</v>
      </c>
      <c r="BS95" s="26" t="s">
        <v>354</v>
      </c>
      <c r="BT95" s="26" t="s">
        <v>185</v>
      </c>
      <c r="BV95" s="26">
        <v>30.3984</v>
      </c>
      <c r="BW95" s="26">
        <v>0.16</v>
      </c>
      <c r="BZ95" s="26">
        <v>0</v>
      </c>
      <c r="CA95" s="26" t="s">
        <v>189</v>
      </c>
      <c r="CC95" s="26" t="s">
        <v>162</v>
      </c>
      <c r="CD95" s="26">
        <v>0</v>
      </c>
      <c r="CE95" s="26" t="s">
        <v>190</v>
      </c>
      <c r="CF95" s="26" t="s">
        <v>167</v>
      </c>
      <c r="CG95" s="26" t="s">
        <v>2182</v>
      </c>
      <c r="CI95" s="26" t="s">
        <v>267</v>
      </c>
      <c r="CJ95" s="26">
        <v>189.99</v>
      </c>
      <c r="CK95" s="26">
        <v>0</v>
      </c>
      <c r="CL95" s="26">
        <v>9.5</v>
      </c>
      <c r="CM95" s="26">
        <v>4.88</v>
      </c>
      <c r="CQ95" s="26" t="s">
        <v>437</v>
      </c>
      <c r="CR95" s="26" t="s">
        <v>2169</v>
      </c>
      <c r="CS95" s="26" t="s">
        <v>2170</v>
      </c>
      <c r="CW95" s="26" t="s">
        <v>2183</v>
      </c>
      <c r="CX95" s="26" t="s">
        <v>162</v>
      </c>
      <c r="CY95" s="26" t="s">
        <v>196</v>
      </c>
      <c r="CZ95" s="26">
        <v>0</v>
      </c>
      <c r="DB95" s="26">
        <v>0</v>
      </c>
      <c r="DK95" s="26" t="s">
        <v>150</v>
      </c>
      <c r="DL95" s="26" t="s">
        <v>1391</v>
      </c>
      <c r="DM95" s="26" t="s">
        <v>2171</v>
      </c>
      <c r="DN95" s="26" t="s">
        <v>2172</v>
      </c>
      <c r="DO95" s="26" t="s">
        <v>2154</v>
      </c>
      <c r="DP95" s="26" t="s">
        <v>2173</v>
      </c>
      <c r="DR95" s="26" t="s">
        <v>189</v>
      </c>
      <c r="DS95" s="26" t="s">
        <v>189</v>
      </c>
      <c r="DT95" s="26" t="s">
        <v>189</v>
      </c>
      <c r="DU95" s="26" t="s">
        <v>189</v>
      </c>
      <c r="DV95" s="26" t="s">
        <v>203</v>
      </c>
      <c r="DW95" s="26" t="s">
        <v>162</v>
      </c>
      <c r="DX95" s="26" t="s">
        <v>162</v>
      </c>
      <c r="DY95" s="26">
        <v>0</v>
      </c>
      <c r="DZ95" s="26" t="s">
        <v>150</v>
      </c>
      <c r="EH95" s="26" t="s">
        <v>189</v>
      </c>
      <c r="EI95" s="26">
        <v>0.16</v>
      </c>
      <c r="EJ95" s="26">
        <v>30.3984</v>
      </c>
      <c r="EK95" s="26">
        <v>4.88</v>
      </c>
      <c r="EL95" s="26" t="s">
        <v>2184</v>
      </c>
      <c r="EM95" s="26" t="s">
        <v>206</v>
      </c>
      <c r="EN95" s="26" t="s">
        <v>207</v>
      </c>
    </row>
    <row r="96" spans="1:144">
      <c r="A96" s="26" t="s">
        <v>145</v>
      </c>
      <c r="B96" s="26" t="s">
        <v>1556</v>
      </c>
      <c r="C96" s="26" t="s">
        <v>2185</v>
      </c>
      <c r="D96" s="26" t="s">
        <v>148</v>
      </c>
      <c r="E96" s="26" t="s">
        <v>149</v>
      </c>
      <c r="F96" s="26" t="s">
        <v>152</v>
      </c>
      <c r="G96" s="26" t="s">
        <v>151</v>
      </c>
      <c r="H96" s="26" t="s">
        <v>152</v>
      </c>
      <c r="I96" s="26" t="s">
        <v>153</v>
      </c>
      <c r="J96" s="26" t="s">
        <v>154</v>
      </c>
      <c r="K96" s="26" t="s">
        <v>1075</v>
      </c>
      <c r="L96" s="26" t="s">
        <v>2186</v>
      </c>
      <c r="M96" s="26" t="s">
        <v>2187</v>
      </c>
      <c r="N96" s="26" t="s">
        <v>2188</v>
      </c>
      <c r="O96" s="26" t="s">
        <v>2189</v>
      </c>
      <c r="P96" s="26" t="s">
        <v>2190</v>
      </c>
      <c r="Q96" s="26" t="s">
        <v>2191</v>
      </c>
      <c r="R96" s="26">
        <v>99.63239</v>
      </c>
      <c r="S96" s="26" t="s">
        <v>2192</v>
      </c>
      <c r="T96" s="26">
        <v>93.58184</v>
      </c>
      <c r="U96" s="26" t="s">
        <v>217</v>
      </c>
      <c r="V96" s="26" t="s">
        <v>150</v>
      </c>
      <c r="Y96" s="26" t="s">
        <v>2193</v>
      </c>
      <c r="Z96" s="26">
        <v>14.9448585</v>
      </c>
      <c r="AA96" s="26">
        <v>0</v>
      </c>
      <c r="AB96" s="26">
        <v>0</v>
      </c>
      <c r="AC96" s="26">
        <v>18</v>
      </c>
      <c r="AD96" s="26" t="s">
        <v>2194</v>
      </c>
      <c r="AE96" s="26" t="s">
        <v>2194</v>
      </c>
      <c r="AF96" s="26" t="s">
        <v>2194</v>
      </c>
      <c r="AG96" s="26" t="s">
        <v>2195</v>
      </c>
      <c r="AI96" s="26" t="s">
        <v>167</v>
      </c>
      <c r="AJ96" s="26" t="s">
        <v>168</v>
      </c>
      <c r="AK96" s="26" t="s">
        <v>169</v>
      </c>
      <c r="AL96" s="26" t="s">
        <v>2196</v>
      </c>
      <c r="AM96" s="26" t="s">
        <v>2197</v>
      </c>
      <c r="AN96" s="26" t="s">
        <v>172</v>
      </c>
      <c r="AO96" s="26" t="s">
        <v>2198</v>
      </c>
      <c r="AP96" s="26" t="s">
        <v>162</v>
      </c>
      <c r="AQ96" s="26" t="s">
        <v>2199</v>
      </c>
      <c r="AR96" s="26" t="s">
        <v>2200</v>
      </c>
      <c r="AS96" s="26" t="s">
        <v>2201</v>
      </c>
      <c r="AT96" s="26" t="s">
        <v>470</v>
      </c>
      <c r="AU96" s="26" t="s">
        <v>2202</v>
      </c>
      <c r="AV96" s="26" t="s">
        <v>2202</v>
      </c>
      <c r="AX96" s="26" t="s">
        <v>2203</v>
      </c>
      <c r="AY96" s="26" t="s">
        <v>179</v>
      </c>
      <c r="BC96" s="26" t="s">
        <v>2185</v>
      </c>
      <c r="BD96" s="26" t="s">
        <v>180</v>
      </c>
      <c r="BE96" s="26" t="s">
        <v>181</v>
      </c>
      <c r="BF96" s="26" t="s">
        <v>167</v>
      </c>
      <c r="BH96" s="26" t="s">
        <v>162</v>
      </c>
      <c r="BI96" s="26" t="s">
        <v>182</v>
      </c>
      <c r="BJ96" s="26" t="s">
        <v>2204</v>
      </c>
      <c r="BK96" s="26" t="s">
        <v>184</v>
      </c>
      <c r="BL96" s="26" t="s">
        <v>185</v>
      </c>
      <c r="BM96" s="26" t="s">
        <v>186</v>
      </c>
      <c r="BN96" s="26" t="s">
        <v>162</v>
      </c>
      <c r="BP96" s="26">
        <v>0</v>
      </c>
      <c r="BQ96" s="26" t="s">
        <v>494</v>
      </c>
      <c r="BS96" s="26" t="s">
        <v>230</v>
      </c>
      <c r="BT96" s="26" t="s">
        <v>185</v>
      </c>
      <c r="BV96" s="26">
        <v>13.9482</v>
      </c>
      <c r="BW96" s="26">
        <v>0.14</v>
      </c>
      <c r="BZ96" s="26">
        <v>0</v>
      </c>
      <c r="CA96" s="26" t="s">
        <v>189</v>
      </c>
      <c r="CC96" s="26" t="s">
        <v>162</v>
      </c>
      <c r="CD96" s="26">
        <v>0</v>
      </c>
      <c r="CE96" s="26" t="s">
        <v>190</v>
      </c>
      <c r="CF96" s="26" t="s">
        <v>167</v>
      </c>
      <c r="CG96" s="26" t="s">
        <v>2205</v>
      </c>
      <c r="CI96" s="26" t="s">
        <v>1095</v>
      </c>
      <c r="CJ96" s="26">
        <v>99.63</v>
      </c>
      <c r="CK96" s="26">
        <v>0</v>
      </c>
      <c r="CL96" s="26">
        <v>4.98</v>
      </c>
      <c r="CM96" s="26">
        <v>21.62</v>
      </c>
      <c r="CQ96" s="26" t="s">
        <v>605</v>
      </c>
      <c r="CR96" s="26" t="s">
        <v>2206</v>
      </c>
      <c r="CS96" s="26" t="s">
        <v>2207</v>
      </c>
      <c r="CW96" s="26" t="s">
        <v>2208</v>
      </c>
      <c r="CX96" s="26" t="s">
        <v>167</v>
      </c>
      <c r="CY96" s="26" t="s">
        <v>196</v>
      </c>
      <c r="CZ96" s="26">
        <v>0</v>
      </c>
      <c r="DB96" s="26">
        <v>0</v>
      </c>
      <c r="DK96" s="26" t="s">
        <v>150</v>
      </c>
      <c r="DL96" s="26" t="s">
        <v>542</v>
      </c>
      <c r="DM96" s="26" t="s">
        <v>2209</v>
      </c>
      <c r="DN96" s="26" t="s">
        <v>2210</v>
      </c>
      <c r="DO96" s="26" t="s">
        <v>2154</v>
      </c>
      <c r="DP96" s="26" t="s">
        <v>2211</v>
      </c>
      <c r="DR96" s="26" t="s">
        <v>189</v>
      </c>
      <c r="DS96" s="26" t="s">
        <v>189</v>
      </c>
      <c r="DT96" s="26" t="s">
        <v>189</v>
      </c>
      <c r="DU96" s="26" t="s">
        <v>189</v>
      </c>
      <c r="DV96" s="26" t="s">
        <v>203</v>
      </c>
      <c r="DW96" s="26" t="s">
        <v>162</v>
      </c>
      <c r="DX96" s="26" t="s">
        <v>162</v>
      </c>
      <c r="DY96" s="26">
        <v>0</v>
      </c>
      <c r="DZ96" s="26" t="s">
        <v>150</v>
      </c>
      <c r="EA96" s="26" t="s">
        <v>470</v>
      </c>
      <c r="EB96" s="26" t="s">
        <v>471</v>
      </c>
      <c r="EH96" s="26" t="s">
        <v>189</v>
      </c>
      <c r="EI96" s="26">
        <v>0.14</v>
      </c>
      <c r="EJ96" s="26">
        <v>13.9482</v>
      </c>
      <c r="EK96" s="26">
        <v>21.62</v>
      </c>
      <c r="EL96" s="26" t="s">
        <v>2212</v>
      </c>
      <c r="EM96" s="26" t="s">
        <v>206</v>
      </c>
      <c r="EN96" s="26" t="s">
        <v>207</v>
      </c>
    </row>
    <row r="97" spans="1:144">
      <c r="A97" s="26" t="s">
        <v>145</v>
      </c>
      <c r="B97" s="26" t="s">
        <v>1556</v>
      </c>
      <c r="C97" s="26" t="s">
        <v>2213</v>
      </c>
      <c r="D97" s="26" t="s">
        <v>148</v>
      </c>
      <c r="E97" s="26" t="s">
        <v>149</v>
      </c>
      <c r="F97" s="26" t="s">
        <v>152</v>
      </c>
      <c r="G97" s="26" t="s">
        <v>151</v>
      </c>
      <c r="H97" s="26" t="s">
        <v>152</v>
      </c>
      <c r="I97" s="26" t="s">
        <v>153</v>
      </c>
      <c r="J97" s="26" t="s">
        <v>154</v>
      </c>
      <c r="K97" s="26" t="s">
        <v>1075</v>
      </c>
      <c r="L97" s="26" t="s">
        <v>1076</v>
      </c>
      <c r="M97" s="26" t="s">
        <v>2214</v>
      </c>
      <c r="N97" s="26" t="s">
        <v>2215</v>
      </c>
      <c r="O97" s="26" t="s">
        <v>2216</v>
      </c>
      <c r="P97" s="26" t="s">
        <v>2217</v>
      </c>
      <c r="Q97" s="26" t="s">
        <v>2218</v>
      </c>
      <c r="R97" s="26">
        <v>80.674</v>
      </c>
      <c r="S97" s="26" t="s">
        <v>2219</v>
      </c>
      <c r="T97" s="26">
        <v>74.62345</v>
      </c>
      <c r="U97" s="26" t="s">
        <v>217</v>
      </c>
      <c r="V97" s="26" t="s">
        <v>150</v>
      </c>
      <c r="Y97" s="26" t="s">
        <v>2220</v>
      </c>
      <c r="Z97" s="26">
        <v>12.1011</v>
      </c>
      <c r="AA97" s="26">
        <v>0</v>
      </c>
      <c r="AB97" s="26">
        <v>0</v>
      </c>
      <c r="AC97" s="26">
        <v>15.2</v>
      </c>
      <c r="AD97" s="26" t="s">
        <v>2221</v>
      </c>
      <c r="AE97" s="26" t="s">
        <v>2221</v>
      </c>
      <c r="AF97" s="26" t="s">
        <v>2221</v>
      </c>
      <c r="AG97" s="26" t="s">
        <v>1993</v>
      </c>
      <c r="AI97" s="26" t="s">
        <v>167</v>
      </c>
      <c r="AJ97" s="26" t="s">
        <v>168</v>
      </c>
      <c r="AK97" s="26" t="s">
        <v>169</v>
      </c>
      <c r="AL97" s="26" t="s">
        <v>1995</v>
      </c>
      <c r="AM97" s="26" t="s">
        <v>2222</v>
      </c>
      <c r="AN97" s="26" t="s">
        <v>172</v>
      </c>
      <c r="AO97" s="26" t="s">
        <v>466</v>
      </c>
      <c r="AP97" s="26" t="s">
        <v>162</v>
      </c>
      <c r="AQ97" s="26" t="s">
        <v>2223</v>
      </c>
      <c r="AR97" s="26" t="s">
        <v>2224</v>
      </c>
      <c r="AS97" s="26" t="s">
        <v>887</v>
      </c>
      <c r="AU97" s="26" t="s">
        <v>2225</v>
      </c>
      <c r="AV97" s="26" t="s">
        <v>2225</v>
      </c>
      <c r="AX97" s="26" t="s">
        <v>2226</v>
      </c>
      <c r="AY97" s="26" t="s">
        <v>179</v>
      </c>
      <c r="BC97" s="26" t="s">
        <v>2213</v>
      </c>
      <c r="BD97" s="26" t="s">
        <v>180</v>
      </c>
      <c r="BE97" s="26" t="s">
        <v>181</v>
      </c>
      <c r="BF97" s="26" t="s">
        <v>167</v>
      </c>
      <c r="BH97" s="26" t="s">
        <v>162</v>
      </c>
      <c r="BI97" s="26" t="s">
        <v>182</v>
      </c>
      <c r="BJ97" s="26" t="s">
        <v>2227</v>
      </c>
      <c r="BK97" s="26" t="s">
        <v>184</v>
      </c>
      <c r="BL97" s="26" t="s">
        <v>185</v>
      </c>
      <c r="BM97" s="26" t="s">
        <v>186</v>
      </c>
      <c r="BN97" s="26" t="s">
        <v>162</v>
      </c>
      <c r="BP97" s="26">
        <v>0</v>
      </c>
      <c r="BQ97" s="26" t="s">
        <v>466</v>
      </c>
      <c r="BS97" s="26" t="s">
        <v>230</v>
      </c>
      <c r="BT97" s="26" t="s">
        <v>185</v>
      </c>
      <c r="BV97" s="26">
        <v>11.2938</v>
      </c>
      <c r="BW97" s="26">
        <v>0.14</v>
      </c>
      <c r="BZ97" s="26">
        <v>0</v>
      </c>
      <c r="CA97" s="26" t="s">
        <v>189</v>
      </c>
      <c r="CC97" s="26" t="s">
        <v>162</v>
      </c>
      <c r="CD97" s="26">
        <v>0</v>
      </c>
      <c r="CE97" s="26" t="s">
        <v>190</v>
      </c>
      <c r="CF97" s="26" t="s">
        <v>167</v>
      </c>
      <c r="CG97" s="26" t="s">
        <v>2228</v>
      </c>
      <c r="CI97" s="26" t="s">
        <v>1095</v>
      </c>
      <c r="CJ97" s="26">
        <v>80.67</v>
      </c>
      <c r="CK97" s="26">
        <v>0</v>
      </c>
      <c r="CL97" s="26">
        <v>4.03</v>
      </c>
      <c r="CM97" s="26">
        <v>8.28</v>
      </c>
      <c r="CQ97" s="26" t="s">
        <v>233</v>
      </c>
      <c r="CR97" s="26" t="s">
        <v>2004</v>
      </c>
      <c r="CS97" s="26" t="s">
        <v>2229</v>
      </c>
      <c r="CW97" s="26" t="s">
        <v>2230</v>
      </c>
      <c r="CX97" s="26" t="s">
        <v>169</v>
      </c>
      <c r="CY97" s="26" t="s">
        <v>196</v>
      </c>
      <c r="CZ97" s="26">
        <v>0</v>
      </c>
      <c r="DB97" s="26">
        <v>0</v>
      </c>
      <c r="DK97" s="26" t="s">
        <v>150</v>
      </c>
      <c r="DL97" s="26" t="s">
        <v>390</v>
      </c>
      <c r="DM97" s="26" t="s">
        <v>2231</v>
      </c>
      <c r="DN97" s="26" t="s">
        <v>2232</v>
      </c>
      <c r="DO97" s="26" t="s">
        <v>2233</v>
      </c>
      <c r="DP97" s="26" t="s">
        <v>2234</v>
      </c>
      <c r="DR97" s="26" t="s">
        <v>189</v>
      </c>
      <c r="DS97" s="26" t="s">
        <v>189</v>
      </c>
      <c r="DT97" s="26" t="s">
        <v>189</v>
      </c>
      <c r="DU97" s="26" t="s">
        <v>189</v>
      </c>
      <c r="DV97" s="26" t="s">
        <v>203</v>
      </c>
      <c r="DW97" s="26" t="s">
        <v>162</v>
      </c>
      <c r="DX97" s="26" t="s">
        <v>162</v>
      </c>
      <c r="DY97" s="26">
        <v>0</v>
      </c>
      <c r="DZ97" s="26" t="s">
        <v>150</v>
      </c>
      <c r="EH97" s="26" t="s">
        <v>189</v>
      </c>
      <c r="EI97" s="26">
        <v>0.14</v>
      </c>
      <c r="EJ97" s="26">
        <v>11.2938</v>
      </c>
      <c r="EK97" s="26">
        <v>8.28</v>
      </c>
      <c r="EL97" s="26" t="s">
        <v>2235</v>
      </c>
      <c r="EM97" s="26" t="s">
        <v>206</v>
      </c>
      <c r="EN97" s="26" t="s">
        <v>207</v>
      </c>
    </row>
    <row r="98" spans="1:144">
      <c r="A98" s="26" t="s">
        <v>145</v>
      </c>
      <c r="B98" s="26" t="s">
        <v>1556</v>
      </c>
      <c r="C98" s="26" t="s">
        <v>2236</v>
      </c>
      <c r="D98" s="26" t="s">
        <v>148</v>
      </c>
      <c r="E98" s="26" t="s">
        <v>149</v>
      </c>
      <c r="F98" s="26" t="s">
        <v>152</v>
      </c>
      <c r="G98" s="26" t="s">
        <v>151</v>
      </c>
      <c r="H98" s="26" t="s">
        <v>152</v>
      </c>
      <c r="I98" s="26" t="s">
        <v>153</v>
      </c>
      <c r="J98" s="26" t="s">
        <v>154</v>
      </c>
      <c r="K98" s="26" t="s">
        <v>244</v>
      </c>
      <c r="L98" s="26" t="s">
        <v>765</v>
      </c>
      <c r="M98" s="26" t="s">
        <v>2237</v>
      </c>
      <c r="N98" s="26" t="s">
        <v>2238</v>
      </c>
      <c r="O98" s="26" t="s">
        <v>2239</v>
      </c>
      <c r="P98" s="26" t="s">
        <v>2240</v>
      </c>
      <c r="Q98" s="26" t="s">
        <v>1516</v>
      </c>
      <c r="R98" s="26">
        <v>133.1121</v>
      </c>
      <c r="S98" s="26" t="s">
        <v>1499</v>
      </c>
      <c r="T98" s="26">
        <v>127.06155</v>
      </c>
      <c r="U98" s="26" t="s">
        <v>217</v>
      </c>
      <c r="V98" s="26" t="s">
        <v>150</v>
      </c>
      <c r="Y98" s="26" t="s">
        <v>2241</v>
      </c>
      <c r="Z98" s="26">
        <v>19.966815</v>
      </c>
      <c r="AA98" s="26">
        <v>0</v>
      </c>
      <c r="AB98" s="26">
        <v>0</v>
      </c>
      <c r="AC98" s="26">
        <v>18</v>
      </c>
      <c r="AD98" s="26" t="s">
        <v>2194</v>
      </c>
      <c r="AE98" s="26" t="s">
        <v>2194</v>
      </c>
      <c r="AF98" s="26" t="s">
        <v>2194</v>
      </c>
      <c r="AG98" s="26" t="s">
        <v>2242</v>
      </c>
      <c r="AI98" s="26" t="s">
        <v>167</v>
      </c>
      <c r="AJ98" s="26" t="s">
        <v>168</v>
      </c>
      <c r="AK98" s="26" t="s">
        <v>169</v>
      </c>
      <c r="AL98" s="26" t="s">
        <v>1085</v>
      </c>
      <c r="AM98" s="26" t="s">
        <v>2243</v>
      </c>
      <c r="AN98" s="26" t="s">
        <v>172</v>
      </c>
      <c r="AO98" s="26" t="s">
        <v>2244</v>
      </c>
      <c r="AP98" s="26" t="s">
        <v>162</v>
      </c>
      <c r="AQ98" s="26" t="s">
        <v>2245</v>
      </c>
      <c r="AR98" s="26" t="s">
        <v>2246</v>
      </c>
      <c r="AS98" s="26" t="s">
        <v>226</v>
      </c>
      <c r="AU98" s="26" t="s">
        <v>2247</v>
      </c>
      <c r="AV98" s="26" t="s">
        <v>2247</v>
      </c>
      <c r="AX98" s="26" t="s">
        <v>2248</v>
      </c>
      <c r="AY98" s="26" t="s">
        <v>179</v>
      </c>
      <c r="BC98" s="26" t="s">
        <v>2236</v>
      </c>
      <c r="BD98" s="26" t="s">
        <v>180</v>
      </c>
      <c r="BE98" s="26" t="s">
        <v>181</v>
      </c>
      <c r="BF98" s="26" t="s">
        <v>167</v>
      </c>
      <c r="BH98" s="26" t="s">
        <v>162</v>
      </c>
      <c r="BI98" s="26" t="s">
        <v>182</v>
      </c>
      <c r="BJ98" s="26" t="s">
        <v>1416</v>
      </c>
      <c r="BK98" s="26" t="s">
        <v>184</v>
      </c>
      <c r="BL98" s="26" t="s">
        <v>185</v>
      </c>
      <c r="BM98" s="26" t="s">
        <v>186</v>
      </c>
      <c r="BN98" s="26" t="s">
        <v>162</v>
      </c>
      <c r="BP98" s="26">
        <v>0</v>
      </c>
      <c r="BQ98" s="26" t="s">
        <v>776</v>
      </c>
      <c r="BS98" s="26" t="s">
        <v>354</v>
      </c>
      <c r="BT98" s="26" t="s">
        <v>185</v>
      </c>
      <c r="BV98" s="26">
        <v>21.2976</v>
      </c>
      <c r="BW98" s="26">
        <v>0.16</v>
      </c>
      <c r="BZ98" s="26">
        <v>0</v>
      </c>
      <c r="CA98" s="26" t="s">
        <v>189</v>
      </c>
      <c r="CC98" s="26" t="s">
        <v>162</v>
      </c>
      <c r="CD98" s="26">
        <v>0</v>
      </c>
      <c r="CE98" s="26" t="s">
        <v>190</v>
      </c>
      <c r="CF98" s="26" t="s">
        <v>167</v>
      </c>
      <c r="CG98" s="26" t="s">
        <v>2249</v>
      </c>
      <c r="CI98" s="26" t="s">
        <v>267</v>
      </c>
      <c r="CJ98" s="26">
        <v>133.11</v>
      </c>
      <c r="CK98" s="26">
        <v>0</v>
      </c>
      <c r="CL98" s="26">
        <v>6.66</v>
      </c>
      <c r="CM98" s="26">
        <v>19.44</v>
      </c>
      <c r="CQ98" s="26" t="s">
        <v>233</v>
      </c>
      <c r="CR98" s="26" t="s">
        <v>1096</v>
      </c>
      <c r="CS98" s="26" t="s">
        <v>2250</v>
      </c>
      <c r="CW98" s="26" t="s">
        <v>2251</v>
      </c>
      <c r="CX98" s="26" t="s">
        <v>162</v>
      </c>
      <c r="CY98" s="26" t="s">
        <v>196</v>
      </c>
      <c r="CZ98" s="26">
        <v>0</v>
      </c>
      <c r="DB98" s="26">
        <v>0</v>
      </c>
      <c r="DK98" s="26" t="s">
        <v>150</v>
      </c>
      <c r="DL98" s="26" t="s">
        <v>1014</v>
      </c>
      <c r="DM98" s="26" t="s">
        <v>2252</v>
      </c>
      <c r="DN98" s="26" t="s">
        <v>2253</v>
      </c>
      <c r="DO98" s="26" t="s">
        <v>2254</v>
      </c>
      <c r="DP98" s="26" t="s">
        <v>2255</v>
      </c>
      <c r="DR98" s="26" t="s">
        <v>189</v>
      </c>
      <c r="DS98" s="26" t="s">
        <v>189</v>
      </c>
      <c r="DT98" s="26" t="s">
        <v>189</v>
      </c>
      <c r="DU98" s="26" t="s">
        <v>189</v>
      </c>
      <c r="DV98" s="26" t="s">
        <v>203</v>
      </c>
      <c r="DW98" s="26" t="s">
        <v>162</v>
      </c>
      <c r="DX98" s="26" t="s">
        <v>162</v>
      </c>
      <c r="DY98" s="26">
        <v>0</v>
      </c>
      <c r="DZ98" s="26" t="s">
        <v>150</v>
      </c>
      <c r="EH98" s="26" t="s">
        <v>189</v>
      </c>
      <c r="EI98" s="26">
        <v>0.16</v>
      </c>
      <c r="EJ98" s="26">
        <v>21.2976</v>
      </c>
      <c r="EK98" s="26">
        <v>19.44</v>
      </c>
      <c r="EL98" s="26" t="s">
        <v>2256</v>
      </c>
      <c r="EM98" s="26" t="s">
        <v>206</v>
      </c>
      <c r="EN98" s="26" t="s">
        <v>207</v>
      </c>
    </row>
    <row r="99" spans="1:144">
      <c r="A99" s="26" t="s">
        <v>145</v>
      </c>
      <c r="B99" s="26" t="s">
        <v>1556</v>
      </c>
      <c r="C99" s="26" t="s">
        <v>2257</v>
      </c>
      <c r="D99" s="26" t="s">
        <v>148</v>
      </c>
      <c r="E99" s="26" t="s">
        <v>149</v>
      </c>
      <c r="F99" s="26" t="s">
        <v>152</v>
      </c>
      <c r="G99" s="26" t="s">
        <v>151</v>
      </c>
      <c r="H99" s="26" t="s">
        <v>152</v>
      </c>
      <c r="I99" s="26" t="s">
        <v>153</v>
      </c>
      <c r="J99" s="26" t="s">
        <v>154</v>
      </c>
      <c r="K99" s="26" t="s">
        <v>244</v>
      </c>
      <c r="L99" s="26" t="s">
        <v>1957</v>
      </c>
      <c r="M99" s="26" t="s">
        <v>2258</v>
      </c>
      <c r="N99" s="26" t="s">
        <v>2259</v>
      </c>
      <c r="O99" s="26" t="s">
        <v>2260</v>
      </c>
      <c r="P99" s="26" t="s">
        <v>2261</v>
      </c>
      <c r="Q99" s="26" t="s">
        <v>2262</v>
      </c>
      <c r="R99" s="26">
        <v>216.60969</v>
      </c>
      <c r="S99" s="26" t="s">
        <v>2263</v>
      </c>
      <c r="T99" s="26">
        <v>210.55914</v>
      </c>
      <c r="U99" s="26" t="s">
        <v>217</v>
      </c>
      <c r="V99" s="26" t="s">
        <v>150</v>
      </c>
      <c r="Y99" s="26" t="s">
        <v>2264</v>
      </c>
      <c r="Z99" s="26">
        <v>32.4914535</v>
      </c>
      <c r="AA99" s="26">
        <v>0</v>
      </c>
      <c r="AB99" s="26">
        <v>0</v>
      </c>
      <c r="AC99" s="26">
        <v>45</v>
      </c>
      <c r="AD99" s="26" t="s">
        <v>291</v>
      </c>
      <c r="AE99" s="26" t="s">
        <v>291</v>
      </c>
      <c r="AF99" s="26" t="s">
        <v>291</v>
      </c>
      <c r="AG99" s="26" t="s">
        <v>2265</v>
      </c>
      <c r="AI99" s="26" t="s">
        <v>167</v>
      </c>
      <c r="AJ99" s="26" t="s">
        <v>797</v>
      </c>
      <c r="AK99" s="26" t="s">
        <v>798</v>
      </c>
      <c r="AL99" s="26" t="s">
        <v>658</v>
      </c>
      <c r="AM99" s="26" t="s">
        <v>1747</v>
      </c>
      <c r="AN99" s="26" t="s">
        <v>172</v>
      </c>
      <c r="AO99" s="26" t="s">
        <v>1967</v>
      </c>
      <c r="AP99" s="26" t="s">
        <v>162</v>
      </c>
      <c r="AQ99" s="26" t="s">
        <v>2266</v>
      </c>
      <c r="AR99" s="26" t="s">
        <v>2267</v>
      </c>
      <c r="AS99" s="26" t="s">
        <v>937</v>
      </c>
      <c r="AU99" s="26" t="s">
        <v>2268</v>
      </c>
      <c r="AV99" s="26" t="s">
        <v>150</v>
      </c>
      <c r="AX99" s="26" t="s">
        <v>1971</v>
      </c>
      <c r="AY99" s="26" t="s">
        <v>179</v>
      </c>
      <c r="BC99" s="26" t="s">
        <v>2257</v>
      </c>
      <c r="BD99" s="26" t="s">
        <v>180</v>
      </c>
      <c r="BE99" s="26" t="s">
        <v>181</v>
      </c>
      <c r="BF99" s="26" t="s">
        <v>167</v>
      </c>
      <c r="BH99" s="26" t="s">
        <v>162</v>
      </c>
      <c r="BI99" s="26" t="s">
        <v>807</v>
      </c>
      <c r="BJ99" s="26" t="s">
        <v>2269</v>
      </c>
      <c r="BK99" s="26" t="s">
        <v>184</v>
      </c>
      <c r="BL99" s="26" t="s">
        <v>185</v>
      </c>
      <c r="BM99" s="26" t="s">
        <v>186</v>
      </c>
      <c r="BN99" s="26" t="s">
        <v>162</v>
      </c>
      <c r="BP99" s="26">
        <v>0</v>
      </c>
      <c r="BQ99" s="26" t="s">
        <v>776</v>
      </c>
      <c r="BS99" s="26" t="s">
        <v>354</v>
      </c>
      <c r="BT99" s="26" t="s">
        <v>185</v>
      </c>
      <c r="BV99" s="26">
        <v>34.6576</v>
      </c>
      <c r="BW99" s="26">
        <v>0.16</v>
      </c>
      <c r="BZ99" s="26">
        <v>0</v>
      </c>
      <c r="CA99" s="26" t="s">
        <v>189</v>
      </c>
      <c r="CC99" s="26" t="s">
        <v>162</v>
      </c>
      <c r="CD99" s="26">
        <v>0</v>
      </c>
      <c r="CE99" s="26" t="s">
        <v>190</v>
      </c>
      <c r="CF99" s="26" t="s">
        <v>167</v>
      </c>
      <c r="CG99" s="26" t="s">
        <v>2270</v>
      </c>
      <c r="CI99" s="26" t="s">
        <v>267</v>
      </c>
      <c r="CJ99" s="26">
        <v>216.61</v>
      </c>
      <c r="CK99" s="26">
        <v>0</v>
      </c>
      <c r="CL99" s="26">
        <v>10.83</v>
      </c>
      <c r="CM99" s="26">
        <v>33.41</v>
      </c>
      <c r="CQ99" s="26" t="s">
        <v>437</v>
      </c>
      <c r="CR99" s="26" t="s">
        <v>2271</v>
      </c>
      <c r="CS99" s="26" t="s">
        <v>2272</v>
      </c>
      <c r="CW99" s="26" t="s">
        <v>1976</v>
      </c>
      <c r="CX99" s="26" t="s">
        <v>1977</v>
      </c>
      <c r="CY99" s="26" t="s">
        <v>196</v>
      </c>
      <c r="CZ99" s="26">
        <v>0</v>
      </c>
      <c r="DB99" s="26">
        <v>0</v>
      </c>
      <c r="DK99" s="26" t="s">
        <v>150</v>
      </c>
      <c r="DL99" s="26" t="s">
        <v>581</v>
      </c>
      <c r="DM99" s="26" t="s">
        <v>2273</v>
      </c>
      <c r="DN99" s="26" t="s">
        <v>2274</v>
      </c>
      <c r="DO99" s="26" t="s">
        <v>2275</v>
      </c>
      <c r="DP99" s="26" t="s">
        <v>2276</v>
      </c>
      <c r="DR99" s="26" t="s">
        <v>189</v>
      </c>
      <c r="DS99" s="26" t="s">
        <v>189</v>
      </c>
      <c r="DT99" s="26" t="s">
        <v>189</v>
      </c>
      <c r="DU99" s="26" t="s">
        <v>189</v>
      </c>
      <c r="DV99" s="26" t="s">
        <v>203</v>
      </c>
      <c r="DW99" s="26" t="s">
        <v>162</v>
      </c>
      <c r="DX99" s="26" t="s">
        <v>162</v>
      </c>
      <c r="DY99" s="26">
        <v>0</v>
      </c>
      <c r="DZ99" s="26" t="s">
        <v>150</v>
      </c>
      <c r="EH99" s="26" t="s">
        <v>189</v>
      </c>
      <c r="EI99" s="26">
        <v>0.16</v>
      </c>
      <c r="EJ99" s="26">
        <v>34.6576</v>
      </c>
      <c r="EK99" s="26">
        <v>33.41</v>
      </c>
      <c r="EL99" s="26" t="s">
        <v>2277</v>
      </c>
      <c r="EM99" s="26" t="s">
        <v>206</v>
      </c>
      <c r="EN99" s="26" t="s">
        <v>207</v>
      </c>
    </row>
    <row r="100" spans="1:144">
      <c r="A100" s="26" t="s">
        <v>145</v>
      </c>
      <c r="B100" s="26" t="s">
        <v>1556</v>
      </c>
      <c r="C100" s="26" t="s">
        <v>2278</v>
      </c>
      <c r="D100" s="26" t="s">
        <v>148</v>
      </c>
      <c r="E100" s="26" t="s">
        <v>149</v>
      </c>
      <c r="F100" s="26" t="s">
        <v>152</v>
      </c>
      <c r="G100" s="26" t="s">
        <v>151</v>
      </c>
      <c r="H100" s="26" t="s">
        <v>152</v>
      </c>
      <c r="I100" s="26" t="s">
        <v>153</v>
      </c>
      <c r="J100" s="26" t="s">
        <v>154</v>
      </c>
      <c r="K100" s="26" t="s">
        <v>474</v>
      </c>
      <c r="L100" s="26" t="s">
        <v>517</v>
      </c>
      <c r="M100" s="26" t="s">
        <v>2279</v>
      </c>
      <c r="N100" s="26" t="s">
        <v>2280</v>
      </c>
      <c r="O100" s="26" t="s">
        <v>2281</v>
      </c>
      <c r="P100" s="26" t="s">
        <v>2282</v>
      </c>
      <c r="Q100" s="26" t="s">
        <v>2283</v>
      </c>
      <c r="R100" s="26">
        <v>131.90199</v>
      </c>
      <c r="S100" s="26" t="s">
        <v>1237</v>
      </c>
      <c r="T100" s="26">
        <v>125.85144</v>
      </c>
      <c r="U100" s="26" t="s">
        <v>217</v>
      </c>
      <c r="V100" s="26" t="s">
        <v>150</v>
      </c>
      <c r="Y100" s="26" t="s">
        <v>2284</v>
      </c>
      <c r="Z100" s="26">
        <v>19.7852985</v>
      </c>
      <c r="AA100" s="26">
        <v>0</v>
      </c>
      <c r="AB100" s="26">
        <v>0</v>
      </c>
      <c r="AC100" s="26">
        <v>22.9</v>
      </c>
      <c r="AD100" s="26" t="s">
        <v>2066</v>
      </c>
      <c r="AE100" s="26" t="s">
        <v>2066</v>
      </c>
      <c r="AF100" s="26" t="s">
        <v>2066</v>
      </c>
      <c r="AG100" s="26" t="s">
        <v>2285</v>
      </c>
      <c r="AI100" s="26" t="s">
        <v>167</v>
      </c>
      <c r="AJ100" s="26" t="s">
        <v>168</v>
      </c>
      <c r="AK100" s="26" t="s">
        <v>169</v>
      </c>
      <c r="AL100" s="26" t="s">
        <v>2286</v>
      </c>
      <c r="AM100" s="26" t="s">
        <v>2287</v>
      </c>
      <c r="AN100" s="26" t="s">
        <v>172</v>
      </c>
      <c r="AO100" s="26" t="s">
        <v>494</v>
      </c>
      <c r="AP100" s="26" t="s">
        <v>162</v>
      </c>
      <c r="AQ100" s="26" t="s">
        <v>2288</v>
      </c>
      <c r="AR100" s="26" t="s">
        <v>2289</v>
      </c>
      <c r="AS100" s="26" t="s">
        <v>533</v>
      </c>
      <c r="AT100" s="26" t="s">
        <v>534</v>
      </c>
      <c r="AU100" s="26" t="s">
        <v>2290</v>
      </c>
      <c r="AV100" s="26" t="s">
        <v>2290</v>
      </c>
      <c r="AX100" s="26" t="s">
        <v>536</v>
      </c>
      <c r="AY100" s="26" t="s">
        <v>179</v>
      </c>
      <c r="BC100" s="26" t="s">
        <v>2278</v>
      </c>
      <c r="BD100" s="26" t="s">
        <v>180</v>
      </c>
      <c r="BE100" s="26" t="s">
        <v>181</v>
      </c>
      <c r="BF100" s="26" t="s">
        <v>167</v>
      </c>
      <c r="BH100" s="26" t="s">
        <v>162</v>
      </c>
      <c r="BI100" s="26" t="s">
        <v>182</v>
      </c>
      <c r="BJ100" s="26" t="s">
        <v>2291</v>
      </c>
      <c r="BK100" s="26" t="s">
        <v>184</v>
      </c>
      <c r="BL100" s="26" t="s">
        <v>185</v>
      </c>
      <c r="BM100" s="26" t="s">
        <v>186</v>
      </c>
      <c r="BN100" s="26" t="s">
        <v>162</v>
      </c>
      <c r="BP100" s="26">
        <v>0</v>
      </c>
      <c r="BQ100" s="26" t="s">
        <v>494</v>
      </c>
      <c r="BS100" s="26" t="s">
        <v>230</v>
      </c>
      <c r="BT100" s="26" t="s">
        <v>185</v>
      </c>
      <c r="BV100" s="26">
        <v>21.104</v>
      </c>
      <c r="BW100" s="26">
        <v>0.16</v>
      </c>
      <c r="BZ100" s="26">
        <v>0</v>
      </c>
      <c r="CA100" s="26" t="s">
        <v>189</v>
      </c>
      <c r="CC100" s="26" t="s">
        <v>162</v>
      </c>
      <c r="CD100" s="26">
        <v>0</v>
      </c>
      <c r="CE100" s="26" t="s">
        <v>190</v>
      </c>
      <c r="CF100" s="26" t="s">
        <v>167</v>
      </c>
      <c r="CG100" s="26" t="s">
        <v>2292</v>
      </c>
      <c r="CI100" s="26" t="s">
        <v>496</v>
      </c>
      <c r="CJ100" s="26">
        <v>131.9</v>
      </c>
      <c r="CK100" s="26">
        <v>0</v>
      </c>
      <c r="CL100" s="26">
        <v>6.6</v>
      </c>
      <c r="CM100" s="26">
        <v>12.48</v>
      </c>
      <c r="CQ100" s="26" t="s">
        <v>192</v>
      </c>
      <c r="CR100" s="26" t="s">
        <v>2293</v>
      </c>
      <c r="CS100" s="26" t="s">
        <v>2294</v>
      </c>
      <c r="CW100" s="26" t="s">
        <v>2295</v>
      </c>
      <c r="CX100" s="26" t="s">
        <v>162</v>
      </c>
      <c r="CY100" s="26" t="s">
        <v>196</v>
      </c>
      <c r="CZ100" s="26">
        <v>0</v>
      </c>
      <c r="DB100" s="26">
        <v>0</v>
      </c>
      <c r="DK100" s="26" t="s">
        <v>150</v>
      </c>
      <c r="DL100" s="26" t="s">
        <v>542</v>
      </c>
      <c r="DM100" s="26" t="s">
        <v>2273</v>
      </c>
      <c r="DN100" s="26" t="s">
        <v>2296</v>
      </c>
      <c r="DO100" s="26" t="s">
        <v>2275</v>
      </c>
      <c r="DP100" s="26" t="s">
        <v>2297</v>
      </c>
      <c r="DR100" s="26" t="s">
        <v>189</v>
      </c>
      <c r="DS100" s="26" t="s">
        <v>189</v>
      </c>
      <c r="DT100" s="26" t="s">
        <v>189</v>
      </c>
      <c r="DU100" s="26" t="s">
        <v>189</v>
      </c>
      <c r="DV100" s="26" t="s">
        <v>203</v>
      </c>
      <c r="DW100" s="26" t="s">
        <v>162</v>
      </c>
      <c r="DX100" s="26" t="s">
        <v>162</v>
      </c>
      <c r="DY100" s="26">
        <v>0</v>
      </c>
      <c r="DZ100" s="26" t="s">
        <v>150</v>
      </c>
      <c r="EA100" s="26" t="s">
        <v>534</v>
      </c>
      <c r="EB100" s="26" t="s">
        <v>547</v>
      </c>
      <c r="EH100" s="26" t="s">
        <v>189</v>
      </c>
      <c r="EI100" s="26">
        <v>0.16</v>
      </c>
      <c r="EJ100" s="26">
        <v>21.104</v>
      </c>
      <c r="EK100" s="26">
        <v>12.48</v>
      </c>
      <c r="EL100" s="26" t="s">
        <v>2298</v>
      </c>
      <c r="EM100" s="26" t="s">
        <v>206</v>
      </c>
      <c r="EN100" s="26" t="s">
        <v>207</v>
      </c>
    </row>
    <row r="101" spans="1:144">
      <c r="A101" s="26" t="s">
        <v>145</v>
      </c>
      <c r="B101" s="26" t="s">
        <v>1556</v>
      </c>
      <c r="C101" s="26" t="s">
        <v>2299</v>
      </c>
      <c r="D101" s="26" t="s">
        <v>148</v>
      </c>
      <c r="E101" s="26" t="s">
        <v>149</v>
      </c>
      <c r="F101" s="26" t="s">
        <v>152</v>
      </c>
      <c r="G101" s="26" t="s">
        <v>151</v>
      </c>
      <c r="H101" s="26" t="s">
        <v>152</v>
      </c>
      <c r="I101" s="26" t="s">
        <v>153</v>
      </c>
      <c r="J101" s="26" t="s">
        <v>154</v>
      </c>
      <c r="K101" s="26" t="s">
        <v>209</v>
      </c>
      <c r="L101" s="26" t="s">
        <v>335</v>
      </c>
      <c r="M101" s="26" t="s">
        <v>2300</v>
      </c>
      <c r="N101" s="26" t="s">
        <v>2301</v>
      </c>
      <c r="O101" s="26" t="s">
        <v>2302</v>
      </c>
      <c r="P101" s="26" t="s">
        <v>2303</v>
      </c>
      <c r="Q101" s="26" t="s">
        <v>2304</v>
      </c>
      <c r="R101" s="26">
        <v>175.46595</v>
      </c>
      <c r="S101" s="26" t="s">
        <v>171</v>
      </c>
      <c r="T101" s="26">
        <v>169.4154</v>
      </c>
      <c r="U101" s="26" t="s">
        <v>217</v>
      </c>
      <c r="V101" s="26" t="s">
        <v>150</v>
      </c>
      <c r="Y101" s="26" t="s">
        <v>2305</v>
      </c>
      <c r="Z101" s="26">
        <v>26.3198925</v>
      </c>
      <c r="AA101" s="26">
        <v>0</v>
      </c>
      <c r="AB101" s="26">
        <v>0</v>
      </c>
      <c r="AC101" s="26">
        <v>27</v>
      </c>
      <c r="AD101" s="26" t="s">
        <v>1692</v>
      </c>
      <c r="AE101" s="26" t="s">
        <v>1692</v>
      </c>
      <c r="AF101" s="26" t="s">
        <v>1692</v>
      </c>
      <c r="AG101" s="26" t="s">
        <v>2306</v>
      </c>
      <c r="AI101" s="26" t="s">
        <v>167</v>
      </c>
      <c r="AJ101" s="26" t="s">
        <v>797</v>
      </c>
      <c r="AK101" s="26" t="s">
        <v>798</v>
      </c>
      <c r="AL101" s="26" t="s">
        <v>2307</v>
      </c>
      <c r="AM101" s="26" t="s">
        <v>855</v>
      </c>
      <c r="AN101" s="26" t="s">
        <v>172</v>
      </c>
      <c r="AO101" s="26" t="s">
        <v>2308</v>
      </c>
      <c r="AP101" s="26" t="s">
        <v>162</v>
      </c>
      <c r="AQ101" s="26" t="s">
        <v>2309</v>
      </c>
      <c r="AR101" s="26" t="s">
        <v>2310</v>
      </c>
      <c r="AS101" s="26" t="s">
        <v>1315</v>
      </c>
      <c r="AU101" s="26" t="s">
        <v>2311</v>
      </c>
      <c r="AV101" s="26" t="s">
        <v>150</v>
      </c>
      <c r="AX101" s="26" t="s">
        <v>2312</v>
      </c>
      <c r="AY101" s="26" t="s">
        <v>179</v>
      </c>
      <c r="BC101" s="26" t="s">
        <v>2299</v>
      </c>
      <c r="BD101" s="26" t="s">
        <v>180</v>
      </c>
      <c r="BE101" s="26" t="s">
        <v>181</v>
      </c>
      <c r="BF101" s="26" t="s">
        <v>167</v>
      </c>
      <c r="BH101" s="26" t="s">
        <v>162</v>
      </c>
      <c r="BI101" s="26" t="s">
        <v>807</v>
      </c>
      <c r="BJ101" s="26" t="s">
        <v>2313</v>
      </c>
      <c r="BK101" s="26" t="s">
        <v>184</v>
      </c>
      <c r="BL101" s="26" t="s">
        <v>185</v>
      </c>
      <c r="BM101" s="26" t="s">
        <v>186</v>
      </c>
      <c r="BN101" s="26" t="s">
        <v>162</v>
      </c>
      <c r="BP101" s="26">
        <v>0</v>
      </c>
      <c r="BQ101" s="26" t="s">
        <v>223</v>
      </c>
      <c r="BS101" s="26" t="s">
        <v>230</v>
      </c>
      <c r="BT101" s="26" t="s">
        <v>185</v>
      </c>
      <c r="BV101" s="26">
        <v>24.5658</v>
      </c>
      <c r="BW101" s="26">
        <v>0.14</v>
      </c>
      <c r="BZ101" s="26">
        <v>0</v>
      </c>
      <c r="CA101" s="26" t="s">
        <v>189</v>
      </c>
      <c r="CC101" s="26" t="s">
        <v>162</v>
      </c>
      <c r="CD101" s="26">
        <v>0</v>
      </c>
      <c r="CE101" s="26" t="s">
        <v>190</v>
      </c>
      <c r="CF101" s="26" t="s">
        <v>167</v>
      </c>
      <c r="CG101" s="26" t="s">
        <v>2314</v>
      </c>
      <c r="CI101" s="26" t="s">
        <v>232</v>
      </c>
      <c r="CJ101" s="26">
        <v>175.47</v>
      </c>
      <c r="CK101" s="26">
        <v>0</v>
      </c>
      <c r="CL101" s="26">
        <v>8.77</v>
      </c>
      <c r="CM101" s="26">
        <v>29.95</v>
      </c>
      <c r="CQ101" s="26" t="s">
        <v>437</v>
      </c>
      <c r="CR101" s="26" t="s">
        <v>2315</v>
      </c>
      <c r="CS101" s="26" t="s">
        <v>2316</v>
      </c>
      <c r="CW101" s="26" t="s">
        <v>2317</v>
      </c>
      <c r="CX101" s="26" t="s">
        <v>162</v>
      </c>
      <c r="CY101" s="26" t="s">
        <v>196</v>
      </c>
      <c r="CZ101" s="26">
        <v>0</v>
      </c>
      <c r="DB101" s="26">
        <v>0</v>
      </c>
      <c r="DK101" s="26" t="s">
        <v>150</v>
      </c>
      <c r="DL101" s="26" t="s">
        <v>198</v>
      </c>
      <c r="DM101" s="26" t="s">
        <v>2318</v>
      </c>
      <c r="DN101" s="26" t="s">
        <v>2319</v>
      </c>
      <c r="DO101" s="26" t="s">
        <v>2320</v>
      </c>
      <c r="DP101" s="26" t="s">
        <v>2321</v>
      </c>
      <c r="DR101" s="26" t="s">
        <v>189</v>
      </c>
      <c r="DS101" s="26" t="s">
        <v>189</v>
      </c>
      <c r="DT101" s="26" t="s">
        <v>189</v>
      </c>
      <c r="DU101" s="26" t="s">
        <v>189</v>
      </c>
      <c r="DV101" s="26" t="s">
        <v>203</v>
      </c>
      <c r="DW101" s="26" t="s">
        <v>162</v>
      </c>
      <c r="DX101" s="26" t="s">
        <v>162</v>
      </c>
      <c r="DY101" s="26">
        <v>0</v>
      </c>
      <c r="DZ101" s="26" t="s">
        <v>150</v>
      </c>
      <c r="EH101" s="26" t="s">
        <v>189</v>
      </c>
      <c r="EI101" s="26">
        <v>0.14</v>
      </c>
      <c r="EJ101" s="26">
        <v>24.5658</v>
      </c>
      <c r="EK101" s="26">
        <v>29.95</v>
      </c>
      <c r="EL101" s="26" t="s">
        <v>2322</v>
      </c>
      <c r="EM101" s="26" t="s">
        <v>206</v>
      </c>
      <c r="EN101" s="26" t="s">
        <v>207</v>
      </c>
    </row>
    <row r="102" spans="1:144">
      <c r="A102" s="26" t="s">
        <v>145</v>
      </c>
      <c r="B102" s="26" t="s">
        <v>763</v>
      </c>
      <c r="C102" s="26" t="s">
        <v>2323</v>
      </c>
      <c r="D102" s="26" t="s">
        <v>148</v>
      </c>
      <c r="E102" s="26" t="s">
        <v>149</v>
      </c>
      <c r="F102" s="26" t="s">
        <v>152</v>
      </c>
      <c r="G102" s="26" t="s">
        <v>151</v>
      </c>
      <c r="H102" s="26" t="s">
        <v>152</v>
      </c>
      <c r="I102" s="26" t="s">
        <v>153</v>
      </c>
      <c r="J102" s="26" t="s">
        <v>154</v>
      </c>
      <c r="K102" s="26" t="s">
        <v>155</v>
      </c>
      <c r="L102" s="26" t="s">
        <v>1109</v>
      </c>
      <c r="M102" s="26" t="s">
        <v>2324</v>
      </c>
      <c r="N102" s="26" t="s">
        <v>2325</v>
      </c>
      <c r="O102" s="26" t="s">
        <v>2326</v>
      </c>
      <c r="P102" s="26" t="s">
        <v>2327</v>
      </c>
      <c r="Q102" s="26" t="s">
        <v>2328</v>
      </c>
      <c r="R102" s="26">
        <v>224.303352</v>
      </c>
      <c r="S102" s="26" t="s">
        <v>2329</v>
      </c>
      <c r="T102" s="26">
        <v>218.141172</v>
      </c>
      <c r="U102" s="26" t="s">
        <v>217</v>
      </c>
      <c r="V102" s="26" t="s">
        <v>150</v>
      </c>
      <c r="Y102" s="26" t="s">
        <v>2330</v>
      </c>
      <c r="Z102" s="26">
        <v>33.6455028</v>
      </c>
      <c r="AA102" s="26">
        <v>0</v>
      </c>
      <c r="AB102" s="26">
        <v>0</v>
      </c>
      <c r="AC102" s="26">
        <v>45</v>
      </c>
      <c r="AD102" s="26" t="s">
        <v>291</v>
      </c>
      <c r="AE102" s="26" t="s">
        <v>291</v>
      </c>
      <c r="AF102" s="26">
        <v>45</v>
      </c>
      <c r="AG102" s="26" t="s">
        <v>2331</v>
      </c>
      <c r="AH102" s="26" t="s">
        <v>1236</v>
      </c>
      <c r="AI102" s="26" t="s">
        <v>167</v>
      </c>
      <c r="AJ102" s="26" t="s">
        <v>797</v>
      </c>
      <c r="AK102" s="26" t="s">
        <v>798</v>
      </c>
      <c r="AL102" s="26" t="s">
        <v>162</v>
      </c>
      <c r="AM102" s="26" t="s">
        <v>657</v>
      </c>
      <c r="AN102" s="26" t="s">
        <v>172</v>
      </c>
      <c r="AO102" s="26" t="s">
        <v>461</v>
      </c>
      <c r="AP102" s="26" t="s">
        <v>162</v>
      </c>
      <c r="AQ102" s="26" t="s">
        <v>2332</v>
      </c>
      <c r="AS102" s="26" t="s">
        <v>462</v>
      </c>
      <c r="AU102" s="26" t="s">
        <v>2333</v>
      </c>
      <c r="AV102" s="26" t="s">
        <v>150</v>
      </c>
      <c r="AX102" s="26" t="s">
        <v>2334</v>
      </c>
      <c r="AY102" s="26" t="s">
        <v>2335</v>
      </c>
      <c r="BC102" s="26" t="s">
        <v>2323</v>
      </c>
      <c r="BD102" s="26" t="s">
        <v>180</v>
      </c>
      <c r="BE102" s="26" t="s">
        <v>181</v>
      </c>
      <c r="BF102" s="26" t="s">
        <v>167</v>
      </c>
      <c r="BH102" s="26" t="s">
        <v>162</v>
      </c>
      <c r="BI102" s="26" t="s">
        <v>807</v>
      </c>
      <c r="BK102" s="26" t="s">
        <v>184</v>
      </c>
      <c r="BL102" s="26" t="s">
        <v>185</v>
      </c>
      <c r="BM102" s="26" t="s">
        <v>186</v>
      </c>
      <c r="BN102" s="26" t="s">
        <v>162</v>
      </c>
      <c r="BP102" s="26">
        <v>0</v>
      </c>
      <c r="BQ102" s="26" t="s">
        <v>466</v>
      </c>
      <c r="BS102" s="26" t="s">
        <v>230</v>
      </c>
      <c r="BT102" s="26" t="s">
        <v>185</v>
      </c>
      <c r="BV102" s="26">
        <v>35.888</v>
      </c>
      <c r="BW102" s="26">
        <v>0.16</v>
      </c>
      <c r="BZ102" s="26" t="s">
        <v>167</v>
      </c>
      <c r="CA102" s="26" t="s">
        <v>189</v>
      </c>
      <c r="CC102" s="26" t="s">
        <v>162</v>
      </c>
      <c r="CD102" s="26">
        <v>0</v>
      </c>
      <c r="CE102" s="26" t="s">
        <v>190</v>
      </c>
      <c r="CF102" s="26" t="s">
        <v>167</v>
      </c>
      <c r="CG102" s="26" t="s">
        <v>2336</v>
      </c>
      <c r="CI102" s="26" t="s">
        <v>191</v>
      </c>
      <c r="CJ102" s="26">
        <v>224.3</v>
      </c>
      <c r="CK102" s="26">
        <v>0</v>
      </c>
      <c r="CL102" s="26">
        <v>11.22</v>
      </c>
      <c r="CM102" s="26">
        <v>38.67</v>
      </c>
      <c r="CQ102" s="26" t="s">
        <v>192</v>
      </c>
      <c r="CR102" s="26" t="s">
        <v>782</v>
      </c>
      <c r="CS102" s="26" t="s">
        <v>2337</v>
      </c>
      <c r="CW102" s="26" t="s">
        <v>2338</v>
      </c>
      <c r="CX102" s="26" t="s">
        <v>162</v>
      </c>
      <c r="CY102" s="26" t="s">
        <v>196</v>
      </c>
      <c r="CZ102" s="26">
        <v>0</v>
      </c>
      <c r="DA102" s="26" t="s">
        <v>150</v>
      </c>
      <c r="DB102" s="26">
        <v>0</v>
      </c>
      <c r="DK102" s="26" t="s">
        <v>150</v>
      </c>
      <c r="DL102" s="26" t="s">
        <v>581</v>
      </c>
      <c r="DM102" s="26" t="s">
        <v>2339</v>
      </c>
      <c r="DO102" s="26" t="s">
        <v>2340</v>
      </c>
      <c r="DR102" s="26" t="s">
        <v>189</v>
      </c>
      <c r="DS102" s="26" t="s">
        <v>189</v>
      </c>
      <c r="DT102" s="26" t="s">
        <v>189</v>
      </c>
      <c r="DU102" s="26" t="s">
        <v>189</v>
      </c>
      <c r="DV102" s="26" t="s">
        <v>203</v>
      </c>
      <c r="DW102" s="26" t="s">
        <v>162</v>
      </c>
      <c r="DX102" s="26" t="s">
        <v>162</v>
      </c>
      <c r="DY102" s="26">
        <v>0</v>
      </c>
      <c r="DZ102" s="26" t="s">
        <v>150</v>
      </c>
      <c r="EH102" s="26" t="s">
        <v>189</v>
      </c>
      <c r="EI102" s="26">
        <v>0.16</v>
      </c>
      <c r="EJ102" s="26">
        <v>35.888</v>
      </c>
      <c r="EK102" s="26">
        <v>38.67</v>
      </c>
      <c r="EL102" s="26" t="s">
        <v>2341</v>
      </c>
      <c r="EM102" s="26" t="s">
        <v>206</v>
      </c>
      <c r="EN102" s="26" t="s">
        <v>207</v>
      </c>
    </row>
    <row r="103" spans="1:144">
      <c r="A103" s="26" t="s">
        <v>145</v>
      </c>
      <c r="B103" s="26" t="s">
        <v>1556</v>
      </c>
      <c r="C103" s="26" t="s">
        <v>2342</v>
      </c>
      <c r="D103" s="26" t="s">
        <v>148</v>
      </c>
      <c r="E103" s="26" t="s">
        <v>149</v>
      </c>
      <c r="F103" s="26" t="s">
        <v>152</v>
      </c>
      <c r="G103" s="26" t="s">
        <v>151</v>
      </c>
      <c r="H103" s="26" t="s">
        <v>152</v>
      </c>
      <c r="I103" s="26" t="s">
        <v>153</v>
      </c>
      <c r="J103" s="26" t="s">
        <v>154</v>
      </c>
      <c r="K103" s="26" t="s">
        <v>2343</v>
      </c>
      <c r="L103" s="26" t="s">
        <v>2344</v>
      </c>
      <c r="M103" s="26" t="s">
        <v>2345</v>
      </c>
      <c r="N103" s="26" t="s">
        <v>2346</v>
      </c>
      <c r="O103" s="26" t="s">
        <v>2347</v>
      </c>
      <c r="P103" s="26" t="s">
        <v>2348</v>
      </c>
      <c r="Q103" s="26" t="s">
        <v>256</v>
      </c>
      <c r="R103" s="26">
        <v>137.1458</v>
      </c>
      <c r="S103" s="26" t="s">
        <v>2349</v>
      </c>
      <c r="T103" s="26">
        <v>131.09525</v>
      </c>
      <c r="U103" s="26" t="s">
        <v>217</v>
      </c>
      <c r="V103" s="26" t="s">
        <v>150</v>
      </c>
      <c r="Y103" s="26" t="s">
        <v>2350</v>
      </c>
      <c r="Z103" s="26">
        <v>20.57187</v>
      </c>
      <c r="AA103" s="26">
        <v>0</v>
      </c>
      <c r="AB103" s="26">
        <v>0</v>
      </c>
      <c r="AC103" s="26">
        <v>17.8</v>
      </c>
      <c r="AD103" s="26" t="s">
        <v>2351</v>
      </c>
      <c r="AE103" s="26" t="s">
        <v>2351</v>
      </c>
      <c r="AF103" s="26" t="s">
        <v>2351</v>
      </c>
      <c r="AG103" s="26" t="s">
        <v>2352</v>
      </c>
      <c r="AI103" s="26" t="s">
        <v>167</v>
      </c>
      <c r="AJ103" s="26" t="s">
        <v>168</v>
      </c>
      <c r="AK103" s="26" t="s">
        <v>169</v>
      </c>
      <c r="AL103" s="26" t="s">
        <v>1187</v>
      </c>
      <c r="AM103" s="26" t="s">
        <v>1188</v>
      </c>
      <c r="AN103" s="26" t="s">
        <v>172</v>
      </c>
      <c r="AO103" s="26" t="s">
        <v>2353</v>
      </c>
      <c r="AP103" s="26" t="s">
        <v>162</v>
      </c>
      <c r="AQ103" s="26" t="s">
        <v>2354</v>
      </c>
      <c r="AR103" s="26" t="s">
        <v>2355</v>
      </c>
      <c r="AS103" s="26" t="s">
        <v>937</v>
      </c>
      <c r="AU103" s="26" t="s">
        <v>2356</v>
      </c>
      <c r="AV103" s="26" t="s">
        <v>2356</v>
      </c>
      <c r="AX103" s="26" t="s">
        <v>2357</v>
      </c>
      <c r="AY103" s="26" t="s">
        <v>179</v>
      </c>
      <c r="BC103" s="26" t="s">
        <v>2342</v>
      </c>
      <c r="BD103" s="26" t="s">
        <v>180</v>
      </c>
      <c r="BE103" s="26" t="s">
        <v>181</v>
      </c>
      <c r="BF103" s="26" t="s">
        <v>167</v>
      </c>
      <c r="BH103" s="26" t="s">
        <v>162</v>
      </c>
      <c r="BI103" s="26" t="s">
        <v>182</v>
      </c>
      <c r="BJ103" s="26" t="s">
        <v>2181</v>
      </c>
      <c r="BK103" s="26" t="s">
        <v>184</v>
      </c>
      <c r="BL103" s="26" t="s">
        <v>185</v>
      </c>
      <c r="BM103" s="26" t="s">
        <v>186</v>
      </c>
      <c r="BN103" s="26" t="s">
        <v>162</v>
      </c>
      <c r="BP103" s="26">
        <v>0</v>
      </c>
      <c r="BQ103" s="26" t="s">
        <v>353</v>
      </c>
      <c r="BS103" s="26" t="s">
        <v>354</v>
      </c>
      <c r="BT103" s="26" t="s">
        <v>185</v>
      </c>
      <c r="BV103" s="26">
        <v>7.5433</v>
      </c>
      <c r="BW103" s="26">
        <v>0.055</v>
      </c>
      <c r="BZ103" s="26">
        <v>0</v>
      </c>
      <c r="CA103" s="26" t="s">
        <v>189</v>
      </c>
      <c r="CC103" s="26" t="s">
        <v>162</v>
      </c>
      <c r="CD103" s="26">
        <v>0</v>
      </c>
      <c r="CE103" s="26" t="s">
        <v>190</v>
      </c>
      <c r="CF103" s="26" t="s">
        <v>167</v>
      </c>
      <c r="CG103" s="26" t="s">
        <v>2358</v>
      </c>
      <c r="CI103" s="26" t="s">
        <v>2359</v>
      </c>
      <c r="CJ103" s="26">
        <v>137.15</v>
      </c>
      <c r="CK103" s="26">
        <v>0</v>
      </c>
      <c r="CL103" s="26">
        <v>6.86</v>
      </c>
      <c r="CM103" s="26">
        <v>33.41</v>
      </c>
      <c r="CQ103" s="26" t="s">
        <v>437</v>
      </c>
      <c r="CR103" s="26" t="s">
        <v>1196</v>
      </c>
      <c r="CS103" s="26" t="s">
        <v>2360</v>
      </c>
      <c r="CW103" s="26" t="s">
        <v>2361</v>
      </c>
      <c r="CX103" s="26" t="s">
        <v>162</v>
      </c>
      <c r="CY103" s="26" t="s">
        <v>196</v>
      </c>
      <c r="CZ103" s="26">
        <v>0</v>
      </c>
      <c r="DB103" s="26">
        <v>0</v>
      </c>
      <c r="DK103" s="26" t="s">
        <v>150</v>
      </c>
      <c r="DL103" s="26" t="s">
        <v>237</v>
      </c>
      <c r="DM103" s="26" t="s">
        <v>2362</v>
      </c>
      <c r="DN103" s="26" t="s">
        <v>2363</v>
      </c>
      <c r="DO103" s="26" t="s">
        <v>2364</v>
      </c>
      <c r="DP103" s="26" t="s">
        <v>2365</v>
      </c>
      <c r="DR103" s="26" t="s">
        <v>189</v>
      </c>
      <c r="DS103" s="26" t="s">
        <v>189</v>
      </c>
      <c r="DT103" s="26" t="s">
        <v>189</v>
      </c>
      <c r="DU103" s="26" t="s">
        <v>189</v>
      </c>
      <c r="DV103" s="26" t="s">
        <v>203</v>
      </c>
      <c r="DW103" s="26" t="s">
        <v>162</v>
      </c>
      <c r="DX103" s="26" t="s">
        <v>162</v>
      </c>
      <c r="DY103" s="26">
        <v>0</v>
      </c>
      <c r="DZ103" s="26" t="s">
        <v>150</v>
      </c>
      <c r="EH103" s="26" t="s">
        <v>189</v>
      </c>
      <c r="EI103" s="26">
        <v>0.055</v>
      </c>
      <c r="EJ103" s="26">
        <v>7.5433</v>
      </c>
      <c r="EK103" s="26">
        <v>33.41</v>
      </c>
      <c r="EL103" s="26" t="s">
        <v>2366</v>
      </c>
      <c r="EM103" s="26" t="s">
        <v>206</v>
      </c>
      <c r="EN103" s="26" t="s">
        <v>207</v>
      </c>
    </row>
    <row r="104" spans="1:144">
      <c r="A104" s="26" t="s">
        <v>145</v>
      </c>
      <c r="B104" s="26" t="s">
        <v>1556</v>
      </c>
      <c r="C104" s="26" t="s">
        <v>2367</v>
      </c>
      <c r="D104" s="26" t="s">
        <v>148</v>
      </c>
      <c r="E104" s="26" t="s">
        <v>149</v>
      </c>
      <c r="F104" s="26" t="s">
        <v>152</v>
      </c>
      <c r="G104" s="26" t="s">
        <v>151</v>
      </c>
      <c r="H104" s="26" t="s">
        <v>152</v>
      </c>
      <c r="I104" s="26" t="s">
        <v>153</v>
      </c>
      <c r="J104" s="26" t="s">
        <v>154</v>
      </c>
      <c r="K104" s="26" t="s">
        <v>209</v>
      </c>
      <c r="L104" s="26" t="s">
        <v>210</v>
      </c>
      <c r="M104" s="26" t="s">
        <v>2368</v>
      </c>
      <c r="N104" s="26" t="s">
        <v>2369</v>
      </c>
      <c r="O104" s="26" t="s">
        <v>2370</v>
      </c>
      <c r="P104" s="26" t="s">
        <v>2371</v>
      </c>
      <c r="Q104" s="26" t="s">
        <v>1184</v>
      </c>
      <c r="R104" s="26">
        <v>145.61657</v>
      </c>
      <c r="S104" s="26" t="s">
        <v>800</v>
      </c>
      <c r="T104" s="26">
        <v>139.56602</v>
      </c>
      <c r="U104" s="26" t="s">
        <v>217</v>
      </c>
      <c r="V104" s="26" t="s">
        <v>150</v>
      </c>
      <c r="Y104" s="26" t="s">
        <v>1185</v>
      </c>
      <c r="Z104" s="26">
        <v>21.8424855</v>
      </c>
      <c r="AA104" s="26">
        <v>0</v>
      </c>
      <c r="AB104" s="26">
        <v>0</v>
      </c>
      <c r="AC104" s="26">
        <v>23</v>
      </c>
      <c r="AD104" s="26" t="s">
        <v>1140</v>
      </c>
      <c r="AE104" s="26" t="s">
        <v>1140</v>
      </c>
      <c r="AF104" s="26" t="s">
        <v>1140</v>
      </c>
      <c r="AG104" s="26" t="s">
        <v>2352</v>
      </c>
      <c r="AI104" s="26" t="s">
        <v>167</v>
      </c>
      <c r="AJ104" s="26" t="s">
        <v>168</v>
      </c>
      <c r="AK104" s="26" t="s">
        <v>169</v>
      </c>
      <c r="AL104" s="26" t="s">
        <v>1187</v>
      </c>
      <c r="AM104" s="26" t="s">
        <v>1188</v>
      </c>
      <c r="AN104" s="26" t="s">
        <v>172</v>
      </c>
      <c r="AO104" s="26" t="s">
        <v>1189</v>
      </c>
      <c r="AP104" s="26" t="s">
        <v>162</v>
      </c>
      <c r="AQ104" s="26" t="s">
        <v>2372</v>
      </c>
      <c r="AR104" s="26" t="s">
        <v>2373</v>
      </c>
      <c r="AS104" s="26" t="s">
        <v>662</v>
      </c>
      <c r="AU104" s="26" t="s">
        <v>2374</v>
      </c>
      <c r="AV104" s="26" t="s">
        <v>2374</v>
      </c>
      <c r="AX104" s="26" t="s">
        <v>1193</v>
      </c>
      <c r="AY104" s="26" t="s">
        <v>179</v>
      </c>
      <c r="BC104" s="26" t="s">
        <v>2367</v>
      </c>
      <c r="BD104" s="26" t="s">
        <v>180</v>
      </c>
      <c r="BE104" s="26" t="s">
        <v>181</v>
      </c>
      <c r="BF104" s="26" t="s">
        <v>167</v>
      </c>
      <c r="BH104" s="26" t="s">
        <v>162</v>
      </c>
      <c r="BI104" s="26" t="s">
        <v>182</v>
      </c>
      <c r="BJ104" s="26" t="s">
        <v>1569</v>
      </c>
      <c r="BK104" s="26" t="s">
        <v>184</v>
      </c>
      <c r="BL104" s="26" t="s">
        <v>185</v>
      </c>
      <c r="BM104" s="26" t="s">
        <v>186</v>
      </c>
      <c r="BN104" s="26" t="s">
        <v>162</v>
      </c>
      <c r="BP104" s="26">
        <v>0</v>
      </c>
      <c r="BQ104" s="26" t="s">
        <v>666</v>
      </c>
      <c r="BS104" s="26" t="s">
        <v>230</v>
      </c>
      <c r="BT104" s="26" t="s">
        <v>185</v>
      </c>
      <c r="BV104" s="26">
        <v>20.3868</v>
      </c>
      <c r="BW104" s="26">
        <v>0.14</v>
      </c>
      <c r="BZ104" s="26">
        <v>0</v>
      </c>
      <c r="CA104" s="26" t="s">
        <v>189</v>
      </c>
      <c r="CC104" s="26" t="s">
        <v>162</v>
      </c>
      <c r="CD104" s="26">
        <v>0</v>
      </c>
      <c r="CE104" s="26" t="s">
        <v>190</v>
      </c>
      <c r="CF104" s="26" t="s">
        <v>167</v>
      </c>
      <c r="CG104" s="26" t="s">
        <v>2375</v>
      </c>
      <c r="CI104" s="26" t="s">
        <v>232</v>
      </c>
      <c r="CJ104" s="26">
        <v>145.62</v>
      </c>
      <c r="CK104" s="26">
        <v>0</v>
      </c>
      <c r="CL104" s="26">
        <v>7.28</v>
      </c>
      <c r="CM104" s="26">
        <v>22.15</v>
      </c>
      <c r="CQ104" s="26" t="s">
        <v>605</v>
      </c>
      <c r="CR104" s="26" t="s">
        <v>1196</v>
      </c>
      <c r="CS104" s="26" t="s">
        <v>2376</v>
      </c>
      <c r="CW104" s="26" t="s">
        <v>1198</v>
      </c>
      <c r="CX104" s="26" t="s">
        <v>162</v>
      </c>
      <c r="CY104" s="26" t="s">
        <v>196</v>
      </c>
      <c r="CZ104" s="26">
        <v>0</v>
      </c>
      <c r="DB104" s="26">
        <v>0</v>
      </c>
      <c r="DK104" s="26" t="s">
        <v>150</v>
      </c>
      <c r="DL104" s="26" t="s">
        <v>729</v>
      </c>
      <c r="DM104" s="26" t="s">
        <v>2377</v>
      </c>
      <c r="DN104" s="26" t="s">
        <v>2378</v>
      </c>
      <c r="DO104" s="26" t="s">
        <v>2379</v>
      </c>
      <c r="DP104" s="26" t="s">
        <v>2380</v>
      </c>
      <c r="DR104" s="26" t="s">
        <v>189</v>
      </c>
      <c r="DS104" s="26" t="s">
        <v>189</v>
      </c>
      <c r="DT104" s="26" t="s">
        <v>189</v>
      </c>
      <c r="DU104" s="26" t="s">
        <v>189</v>
      </c>
      <c r="DV104" s="26" t="s">
        <v>203</v>
      </c>
      <c r="DW104" s="26" t="s">
        <v>162</v>
      </c>
      <c r="DX104" s="26" t="s">
        <v>162</v>
      </c>
      <c r="DY104" s="26">
        <v>0</v>
      </c>
      <c r="DZ104" s="26" t="s">
        <v>150</v>
      </c>
      <c r="EH104" s="26" t="s">
        <v>189</v>
      </c>
      <c r="EI104" s="26">
        <v>0.14</v>
      </c>
      <c r="EJ104" s="26">
        <v>20.3868</v>
      </c>
      <c r="EK104" s="26">
        <v>22.15</v>
      </c>
      <c r="EL104" s="26" t="s">
        <v>2381</v>
      </c>
      <c r="EM104" s="26" t="s">
        <v>206</v>
      </c>
      <c r="EN104" s="26" t="s">
        <v>207</v>
      </c>
    </row>
    <row r="105" spans="1:144">
      <c r="A105" s="26" t="s">
        <v>145</v>
      </c>
      <c r="B105" s="26" t="s">
        <v>1556</v>
      </c>
      <c r="C105" s="26" t="s">
        <v>2382</v>
      </c>
      <c r="D105" s="26" t="s">
        <v>148</v>
      </c>
      <c r="E105" s="26" t="s">
        <v>149</v>
      </c>
      <c r="F105" s="26" t="s">
        <v>152</v>
      </c>
      <c r="G105" s="26" t="s">
        <v>151</v>
      </c>
      <c r="H105" s="26" t="s">
        <v>152</v>
      </c>
      <c r="I105" s="26" t="s">
        <v>153</v>
      </c>
      <c r="J105" s="26" t="s">
        <v>154</v>
      </c>
      <c r="K105" s="26" t="s">
        <v>155</v>
      </c>
      <c r="L105" s="26" t="s">
        <v>1132</v>
      </c>
      <c r="M105" s="26" t="s">
        <v>2383</v>
      </c>
      <c r="N105" s="26" t="s">
        <v>2384</v>
      </c>
      <c r="O105" s="26" t="s">
        <v>1135</v>
      </c>
      <c r="P105" s="26" t="s">
        <v>1136</v>
      </c>
      <c r="Q105" s="26" t="s">
        <v>2385</v>
      </c>
      <c r="R105" s="26">
        <v>158.12104</v>
      </c>
      <c r="S105" s="26" t="s">
        <v>980</v>
      </c>
      <c r="T105" s="26">
        <v>152.07049</v>
      </c>
      <c r="U105" s="26" t="s">
        <v>217</v>
      </c>
      <c r="V105" s="26" t="s">
        <v>150</v>
      </c>
      <c r="Y105" s="26" t="s">
        <v>2386</v>
      </c>
      <c r="Z105" s="26">
        <v>23.718156</v>
      </c>
      <c r="AA105" s="26">
        <v>0</v>
      </c>
      <c r="AB105" s="26">
        <v>0</v>
      </c>
      <c r="AC105" s="26">
        <v>28</v>
      </c>
      <c r="AD105" s="26" t="s">
        <v>1480</v>
      </c>
      <c r="AE105" s="26" t="s">
        <v>1480</v>
      </c>
      <c r="AF105" s="26" t="s">
        <v>1480</v>
      </c>
      <c r="AG105" s="26" t="s">
        <v>2387</v>
      </c>
      <c r="AH105" s="26" t="s">
        <v>2388</v>
      </c>
      <c r="AI105" s="26" t="s">
        <v>167</v>
      </c>
      <c r="AJ105" s="26" t="s">
        <v>797</v>
      </c>
      <c r="AK105" s="26" t="s">
        <v>798</v>
      </c>
      <c r="AL105" s="26" t="s">
        <v>2389</v>
      </c>
      <c r="AM105" s="26" t="s">
        <v>171</v>
      </c>
      <c r="AN105" s="26" t="s">
        <v>172</v>
      </c>
      <c r="AO105" s="26" t="s">
        <v>257</v>
      </c>
      <c r="AP105" s="26" t="s">
        <v>162</v>
      </c>
      <c r="AQ105" s="26" t="s">
        <v>2390</v>
      </c>
      <c r="AR105" s="26" t="s">
        <v>2391</v>
      </c>
      <c r="AS105" s="26" t="s">
        <v>937</v>
      </c>
      <c r="AU105" s="26" t="s">
        <v>2392</v>
      </c>
      <c r="AV105" s="26" t="s">
        <v>150</v>
      </c>
      <c r="AX105" s="26" t="s">
        <v>1146</v>
      </c>
      <c r="AY105" s="26" t="s">
        <v>179</v>
      </c>
      <c r="BC105" s="26" t="s">
        <v>2382</v>
      </c>
      <c r="BD105" s="26" t="s">
        <v>180</v>
      </c>
      <c r="BE105" s="26" t="s">
        <v>181</v>
      </c>
      <c r="BF105" s="26" t="s">
        <v>167</v>
      </c>
      <c r="BH105" s="26" t="s">
        <v>162</v>
      </c>
      <c r="BI105" s="26" t="s">
        <v>807</v>
      </c>
      <c r="BJ105" s="26" t="s">
        <v>2393</v>
      </c>
      <c r="BK105" s="26" t="s">
        <v>184</v>
      </c>
      <c r="BL105" s="26" t="s">
        <v>185</v>
      </c>
      <c r="BM105" s="26" t="s">
        <v>186</v>
      </c>
      <c r="BN105" s="26" t="s">
        <v>162</v>
      </c>
      <c r="BP105" s="26">
        <v>0</v>
      </c>
      <c r="BQ105" s="26" t="s">
        <v>265</v>
      </c>
      <c r="BS105" s="26" t="s">
        <v>188</v>
      </c>
      <c r="BT105" s="26" t="s">
        <v>185</v>
      </c>
      <c r="BV105" s="26">
        <v>25.2992</v>
      </c>
      <c r="BW105" s="26">
        <v>0.16</v>
      </c>
      <c r="BZ105" s="26">
        <v>0</v>
      </c>
      <c r="CA105" s="26" t="s">
        <v>189</v>
      </c>
      <c r="CC105" s="26" t="s">
        <v>162</v>
      </c>
      <c r="CD105" s="26">
        <v>0</v>
      </c>
      <c r="CE105" s="26" t="s">
        <v>190</v>
      </c>
      <c r="CF105" s="26" t="s">
        <v>167</v>
      </c>
      <c r="CG105" s="26" t="s">
        <v>2394</v>
      </c>
      <c r="CI105" s="26" t="s">
        <v>191</v>
      </c>
      <c r="CJ105" s="26">
        <v>158.12</v>
      </c>
      <c r="CK105" s="26">
        <v>0</v>
      </c>
      <c r="CL105" s="26">
        <v>7.91</v>
      </c>
      <c r="CM105" s="26">
        <v>28.27</v>
      </c>
      <c r="CQ105" s="26" t="s">
        <v>437</v>
      </c>
      <c r="CR105" s="26" t="s">
        <v>2395</v>
      </c>
      <c r="CS105" s="26" t="s">
        <v>2396</v>
      </c>
      <c r="CW105" s="26" t="s">
        <v>1151</v>
      </c>
      <c r="CX105" s="26" t="s">
        <v>167</v>
      </c>
      <c r="CY105" s="26" t="s">
        <v>196</v>
      </c>
      <c r="CZ105" s="26">
        <v>0</v>
      </c>
      <c r="DB105" s="26">
        <v>0</v>
      </c>
      <c r="DK105" s="26" t="s">
        <v>150</v>
      </c>
      <c r="DL105" s="26" t="s">
        <v>838</v>
      </c>
      <c r="DM105" s="26" t="s">
        <v>2397</v>
      </c>
      <c r="DN105" s="26" t="s">
        <v>2398</v>
      </c>
      <c r="DO105" s="26" t="s">
        <v>2399</v>
      </c>
      <c r="DP105" s="26" t="s">
        <v>2400</v>
      </c>
      <c r="DR105" s="26" t="s">
        <v>189</v>
      </c>
      <c r="DS105" s="26" t="s">
        <v>189</v>
      </c>
      <c r="DT105" s="26" t="s">
        <v>189</v>
      </c>
      <c r="DU105" s="26" t="s">
        <v>189</v>
      </c>
      <c r="DV105" s="26" t="s">
        <v>203</v>
      </c>
      <c r="DW105" s="26" t="s">
        <v>162</v>
      </c>
      <c r="DX105" s="26" t="s">
        <v>162</v>
      </c>
      <c r="DY105" s="26">
        <v>0</v>
      </c>
      <c r="DZ105" s="26" t="s">
        <v>150</v>
      </c>
      <c r="EH105" s="26" t="s">
        <v>189</v>
      </c>
      <c r="EI105" s="26">
        <v>0.16</v>
      </c>
      <c r="EJ105" s="26">
        <v>25.2992</v>
      </c>
      <c r="EK105" s="26">
        <v>28.27</v>
      </c>
      <c r="EL105" s="26" t="s">
        <v>1154</v>
      </c>
      <c r="EM105" s="26" t="s">
        <v>206</v>
      </c>
      <c r="EN105" s="26" t="s">
        <v>207</v>
      </c>
    </row>
    <row r="106" spans="1:144">
      <c r="A106" s="26" t="s">
        <v>145</v>
      </c>
      <c r="B106" s="26" t="s">
        <v>1556</v>
      </c>
      <c r="C106" s="26" t="s">
        <v>2401</v>
      </c>
      <c r="D106" s="26" t="s">
        <v>148</v>
      </c>
      <c r="E106" s="26" t="s">
        <v>149</v>
      </c>
      <c r="F106" s="26" t="s">
        <v>152</v>
      </c>
      <c r="G106" s="26" t="s">
        <v>151</v>
      </c>
      <c r="H106" s="26" t="s">
        <v>152</v>
      </c>
      <c r="I106" s="26" t="s">
        <v>153</v>
      </c>
      <c r="J106" s="26" t="s">
        <v>154</v>
      </c>
      <c r="K106" s="26" t="s">
        <v>244</v>
      </c>
      <c r="L106" s="26" t="s">
        <v>2402</v>
      </c>
      <c r="M106" s="26" t="s">
        <v>2403</v>
      </c>
      <c r="N106" s="26" t="s">
        <v>2404</v>
      </c>
      <c r="O106" s="26" t="s">
        <v>2405</v>
      </c>
      <c r="P106" s="26" t="s">
        <v>2406</v>
      </c>
      <c r="Q106" s="26" t="s">
        <v>2407</v>
      </c>
      <c r="R106" s="26">
        <v>177.88617</v>
      </c>
      <c r="S106" s="26" t="s">
        <v>2408</v>
      </c>
      <c r="T106" s="26">
        <v>171.83562</v>
      </c>
      <c r="U106" s="26" t="s">
        <v>217</v>
      </c>
      <c r="V106" s="26" t="s">
        <v>150</v>
      </c>
      <c r="Y106" s="26" t="s">
        <v>2409</v>
      </c>
      <c r="Z106" s="26">
        <v>26.6829255</v>
      </c>
      <c r="AA106" s="26">
        <v>0</v>
      </c>
      <c r="AB106" s="26">
        <v>0</v>
      </c>
      <c r="AC106" s="26">
        <v>50</v>
      </c>
      <c r="AD106" s="26" t="s">
        <v>2083</v>
      </c>
      <c r="AE106" s="26" t="s">
        <v>2083</v>
      </c>
      <c r="AF106" s="26" t="s">
        <v>2083</v>
      </c>
      <c r="AG106" s="26" t="s">
        <v>2410</v>
      </c>
      <c r="AI106" s="26" t="s">
        <v>167</v>
      </c>
      <c r="AJ106" s="26" t="s">
        <v>168</v>
      </c>
      <c r="AK106" s="26" t="s">
        <v>169</v>
      </c>
      <c r="AL106" s="26" t="s">
        <v>1889</v>
      </c>
      <c r="AM106" s="26" t="s">
        <v>2411</v>
      </c>
      <c r="AN106" s="26" t="s">
        <v>172</v>
      </c>
      <c r="AO106" s="26" t="s">
        <v>2412</v>
      </c>
      <c r="AP106" s="26" t="s">
        <v>167</v>
      </c>
      <c r="AQ106" s="26" t="s">
        <v>2413</v>
      </c>
      <c r="AR106" s="26" t="s">
        <v>2414</v>
      </c>
      <c r="AS106" s="26" t="s">
        <v>600</v>
      </c>
      <c r="AU106" s="26" t="s">
        <v>2415</v>
      </c>
      <c r="AV106" s="26" t="s">
        <v>2415</v>
      </c>
      <c r="AX106" s="26" t="s">
        <v>2416</v>
      </c>
      <c r="AY106" s="26" t="s">
        <v>179</v>
      </c>
      <c r="BC106" s="26" t="s">
        <v>2401</v>
      </c>
      <c r="BD106" s="26" t="s">
        <v>180</v>
      </c>
      <c r="BE106" s="26" t="s">
        <v>181</v>
      </c>
      <c r="BF106" s="26" t="s">
        <v>167</v>
      </c>
      <c r="BH106" s="26" t="s">
        <v>162</v>
      </c>
      <c r="BI106" s="26" t="s">
        <v>182</v>
      </c>
      <c r="BJ106" s="26" t="s">
        <v>862</v>
      </c>
      <c r="BK106" s="26" t="s">
        <v>184</v>
      </c>
      <c r="BL106" s="26" t="s">
        <v>185</v>
      </c>
      <c r="BM106" s="26" t="s">
        <v>186</v>
      </c>
      <c r="BN106" s="26" t="s">
        <v>162</v>
      </c>
      <c r="BP106" s="26">
        <v>0</v>
      </c>
      <c r="BQ106" s="26" t="s">
        <v>1504</v>
      </c>
      <c r="BS106" s="26" t="s">
        <v>188</v>
      </c>
      <c r="BT106" s="26" t="s">
        <v>185</v>
      </c>
      <c r="BV106" s="26">
        <v>28.4624</v>
      </c>
      <c r="BW106" s="26">
        <v>0.16</v>
      </c>
      <c r="BZ106" s="26">
        <v>0</v>
      </c>
      <c r="CA106" s="26" t="s">
        <v>189</v>
      </c>
      <c r="CC106" s="26" t="s">
        <v>162</v>
      </c>
      <c r="CD106" s="26">
        <v>0</v>
      </c>
      <c r="CE106" s="26" t="s">
        <v>190</v>
      </c>
      <c r="CF106" s="26" t="s">
        <v>167</v>
      </c>
      <c r="CG106" s="26" t="s">
        <v>2417</v>
      </c>
      <c r="CI106" s="26" t="s">
        <v>267</v>
      </c>
      <c r="CJ106" s="26">
        <v>177.89</v>
      </c>
      <c r="CK106" s="26">
        <v>0</v>
      </c>
      <c r="CL106" s="26">
        <v>8.89</v>
      </c>
      <c r="CM106" s="26">
        <v>24.66</v>
      </c>
      <c r="CQ106" s="26" t="s">
        <v>605</v>
      </c>
      <c r="CR106" s="26" t="s">
        <v>2418</v>
      </c>
      <c r="CS106" s="26" t="s">
        <v>2419</v>
      </c>
      <c r="CW106" s="26" t="s">
        <v>2420</v>
      </c>
      <c r="CX106" s="26" t="s">
        <v>167</v>
      </c>
      <c r="CY106" s="26" t="s">
        <v>196</v>
      </c>
      <c r="CZ106" s="26">
        <v>0</v>
      </c>
      <c r="DB106" s="26">
        <v>0</v>
      </c>
      <c r="DK106" s="26" t="s">
        <v>150</v>
      </c>
      <c r="DL106" s="26" t="s">
        <v>390</v>
      </c>
      <c r="DM106" s="26" t="s">
        <v>2421</v>
      </c>
      <c r="DN106" s="26" t="s">
        <v>2422</v>
      </c>
      <c r="DO106" s="26" t="s">
        <v>2399</v>
      </c>
      <c r="DP106" s="26" t="s">
        <v>2423</v>
      </c>
      <c r="DR106" s="26" t="s">
        <v>189</v>
      </c>
      <c r="DS106" s="26" t="s">
        <v>189</v>
      </c>
      <c r="DT106" s="26" t="s">
        <v>189</v>
      </c>
      <c r="DU106" s="26" t="s">
        <v>189</v>
      </c>
      <c r="DV106" s="26" t="s">
        <v>203</v>
      </c>
      <c r="DW106" s="26" t="s">
        <v>162</v>
      </c>
      <c r="DX106" s="26" t="s">
        <v>162</v>
      </c>
      <c r="DY106" s="26">
        <v>0</v>
      </c>
      <c r="DZ106" s="26" t="s">
        <v>150</v>
      </c>
      <c r="EH106" s="26" t="s">
        <v>189</v>
      </c>
      <c r="EI106" s="26">
        <v>0.16</v>
      </c>
      <c r="EJ106" s="26">
        <v>28.4624</v>
      </c>
      <c r="EK106" s="26">
        <v>24.66</v>
      </c>
      <c r="EL106" s="26" t="s">
        <v>2424</v>
      </c>
      <c r="EM106" s="26" t="s">
        <v>206</v>
      </c>
      <c r="EN106" s="26" t="s">
        <v>207</v>
      </c>
    </row>
    <row r="107" spans="1:144">
      <c r="A107" s="26" t="s">
        <v>145</v>
      </c>
      <c r="B107" s="26" t="s">
        <v>1556</v>
      </c>
      <c r="C107" s="26" t="s">
        <v>2425</v>
      </c>
      <c r="D107" s="26" t="s">
        <v>148</v>
      </c>
      <c r="E107" s="26" t="s">
        <v>149</v>
      </c>
      <c r="F107" s="26" t="s">
        <v>152</v>
      </c>
      <c r="G107" s="26" t="s">
        <v>151</v>
      </c>
      <c r="H107" s="26" t="s">
        <v>152</v>
      </c>
      <c r="I107" s="26" t="s">
        <v>153</v>
      </c>
      <c r="J107" s="26" t="s">
        <v>154</v>
      </c>
      <c r="K107" s="26" t="s">
        <v>1075</v>
      </c>
      <c r="L107" s="26" t="s">
        <v>2426</v>
      </c>
      <c r="M107" s="26" t="s">
        <v>2427</v>
      </c>
      <c r="N107" s="26" t="s">
        <v>2428</v>
      </c>
      <c r="O107" s="26" t="s">
        <v>2429</v>
      </c>
      <c r="P107" s="26" t="s">
        <v>2430</v>
      </c>
      <c r="Q107" s="26" t="s">
        <v>301</v>
      </c>
      <c r="R107" s="26">
        <v>149.2469</v>
      </c>
      <c r="S107" s="26" t="s">
        <v>2431</v>
      </c>
      <c r="T107" s="26">
        <v>67.76616</v>
      </c>
      <c r="U107" s="26" t="s">
        <v>217</v>
      </c>
      <c r="V107" s="26" t="s">
        <v>150</v>
      </c>
      <c r="Y107" s="26" t="s">
        <v>2432</v>
      </c>
      <c r="Z107" s="26">
        <v>11.1935175</v>
      </c>
      <c r="AA107" s="26">
        <v>0</v>
      </c>
      <c r="AB107" s="26">
        <v>0</v>
      </c>
      <c r="AC107" s="26">
        <v>10</v>
      </c>
      <c r="AD107" s="26" t="s">
        <v>2433</v>
      </c>
      <c r="AE107" s="26" t="s">
        <v>2434</v>
      </c>
      <c r="AF107" s="26" t="s">
        <v>2434</v>
      </c>
      <c r="AG107" s="26" t="s">
        <v>2435</v>
      </c>
      <c r="AI107" s="26" t="s">
        <v>167</v>
      </c>
      <c r="AJ107" s="26" t="s">
        <v>168</v>
      </c>
      <c r="AK107" s="26" t="s">
        <v>169</v>
      </c>
      <c r="AL107" s="26" t="s">
        <v>2121</v>
      </c>
      <c r="AM107" s="26" t="s">
        <v>754</v>
      </c>
      <c r="AN107" s="26" t="s">
        <v>172</v>
      </c>
      <c r="AO107" s="26" t="s">
        <v>2436</v>
      </c>
      <c r="AP107" s="26" t="s">
        <v>162</v>
      </c>
      <c r="AQ107" s="26" t="s">
        <v>2437</v>
      </c>
      <c r="AR107" s="26" t="s">
        <v>2438</v>
      </c>
      <c r="AS107" s="26" t="s">
        <v>321</v>
      </c>
      <c r="AU107" s="26" t="s">
        <v>2439</v>
      </c>
      <c r="AV107" s="26" t="s">
        <v>2439</v>
      </c>
      <c r="AX107" s="26" t="s">
        <v>2440</v>
      </c>
      <c r="AY107" s="26" t="s">
        <v>179</v>
      </c>
      <c r="BC107" s="26" t="s">
        <v>2425</v>
      </c>
      <c r="BD107" s="26" t="s">
        <v>180</v>
      </c>
      <c r="BE107" s="26" t="s">
        <v>1007</v>
      </c>
      <c r="BF107" s="26" t="s">
        <v>167</v>
      </c>
      <c r="BH107" s="26" t="s">
        <v>162</v>
      </c>
      <c r="BI107" s="26" t="s">
        <v>182</v>
      </c>
      <c r="BJ107" s="26" t="s">
        <v>2441</v>
      </c>
      <c r="BK107" s="26" t="s">
        <v>264</v>
      </c>
      <c r="BL107" s="26" t="s">
        <v>185</v>
      </c>
      <c r="BM107" s="26" t="s">
        <v>186</v>
      </c>
      <c r="BN107" s="26" t="s">
        <v>162</v>
      </c>
      <c r="BP107" s="26">
        <v>0</v>
      </c>
      <c r="BQ107" s="26" t="s">
        <v>2442</v>
      </c>
      <c r="BS107" s="26" t="s">
        <v>304</v>
      </c>
      <c r="BT107" s="26" t="s">
        <v>185</v>
      </c>
      <c r="BV107" s="26">
        <v>10.3348</v>
      </c>
      <c r="BW107" s="26">
        <v>0.14</v>
      </c>
      <c r="BZ107" s="26">
        <v>0</v>
      </c>
      <c r="CA107" s="26" t="s">
        <v>189</v>
      </c>
      <c r="CC107" s="26" t="s">
        <v>162</v>
      </c>
      <c r="CD107" s="26">
        <v>0</v>
      </c>
      <c r="CE107" s="26" t="s">
        <v>190</v>
      </c>
      <c r="CF107" s="26" t="s">
        <v>195</v>
      </c>
      <c r="CG107" s="26" t="s">
        <v>2443</v>
      </c>
      <c r="CI107" s="26" t="s">
        <v>1095</v>
      </c>
      <c r="CJ107" s="26">
        <v>73.82</v>
      </c>
      <c r="CK107" s="26">
        <v>0</v>
      </c>
      <c r="CL107" s="26">
        <v>3.69</v>
      </c>
      <c r="CM107" s="26">
        <v>21.69</v>
      </c>
      <c r="CQ107" s="26" t="s">
        <v>233</v>
      </c>
      <c r="CR107" s="26" t="s">
        <v>2444</v>
      </c>
      <c r="CS107" s="26" t="s">
        <v>2445</v>
      </c>
      <c r="CW107" s="26" t="s">
        <v>2446</v>
      </c>
      <c r="CX107" s="26" t="s">
        <v>162</v>
      </c>
      <c r="CY107" s="26" t="s">
        <v>196</v>
      </c>
      <c r="CZ107" s="26">
        <v>0</v>
      </c>
      <c r="DB107" s="26">
        <v>0</v>
      </c>
      <c r="DK107" s="26" t="s">
        <v>150</v>
      </c>
      <c r="DL107" s="26" t="s">
        <v>1527</v>
      </c>
      <c r="DM107" s="26" t="s">
        <v>2447</v>
      </c>
      <c r="DN107" s="26" t="s">
        <v>2448</v>
      </c>
      <c r="DO107" s="26" t="s">
        <v>2399</v>
      </c>
      <c r="DP107" s="26" t="s">
        <v>2449</v>
      </c>
      <c r="DR107" s="26" t="s">
        <v>189</v>
      </c>
      <c r="DS107" s="26" t="s">
        <v>189</v>
      </c>
      <c r="DT107" s="26" t="s">
        <v>189</v>
      </c>
      <c r="DU107" s="26" t="s">
        <v>189</v>
      </c>
      <c r="DV107" s="26" t="s">
        <v>203</v>
      </c>
      <c r="DW107" s="26" t="s">
        <v>162</v>
      </c>
      <c r="DX107" s="26" t="s">
        <v>162</v>
      </c>
      <c r="DY107" s="26">
        <v>0</v>
      </c>
      <c r="DZ107" s="26" t="s">
        <v>150</v>
      </c>
      <c r="EH107" s="26" t="s">
        <v>189</v>
      </c>
      <c r="EI107" s="26">
        <v>0.14</v>
      </c>
      <c r="EJ107" s="26">
        <v>10.3348</v>
      </c>
      <c r="EK107" s="26">
        <v>21.69</v>
      </c>
      <c r="EL107" s="26" t="s">
        <v>2450</v>
      </c>
      <c r="EM107" s="26" t="s">
        <v>206</v>
      </c>
      <c r="EN107" s="26" t="s">
        <v>207</v>
      </c>
    </row>
    <row r="108" spans="1:144">
      <c r="A108" s="26" t="s">
        <v>145</v>
      </c>
      <c r="B108" s="26" t="s">
        <v>1556</v>
      </c>
      <c r="C108" s="26" t="s">
        <v>2425</v>
      </c>
      <c r="D108" s="26" t="s">
        <v>148</v>
      </c>
      <c r="E108" s="26" t="s">
        <v>149</v>
      </c>
      <c r="F108" s="26" t="s">
        <v>152</v>
      </c>
      <c r="G108" s="26" t="s">
        <v>151</v>
      </c>
      <c r="H108" s="26" t="s">
        <v>152</v>
      </c>
      <c r="I108" s="26" t="s">
        <v>153</v>
      </c>
      <c r="J108" s="26" t="s">
        <v>154</v>
      </c>
      <c r="K108" s="26" t="s">
        <v>1075</v>
      </c>
      <c r="L108" s="26" t="s">
        <v>2426</v>
      </c>
      <c r="M108" s="26" t="s">
        <v>2427</v>
      </c>
      <c r="O108" s="26" t="s">
        <v>2451</v>
      </c>
      <c r="P108" s="26" t="s">
        <v>2452</v>
      </c>
      <c r="S108" s="26" t="s">
        <v>2453</v>
      </c>
      <c r="T108" s="26">
        <v>69.37964</v>
      </c>
      <c r="U108" s="26" t="s">
        <v>217</v>
      </c>
      <c r="V108" s="26" t="s">
        <v>150</v>
      </c>
      <c r="Y108" s="26" t="s">
        <v>2432</v>
      </c>
      <c r="Z108" s="26">
        <v>11.1935175</v>
      </c>
      <c r="AA108" s="26">
        <v>0</v>
      </c>
      <c r="AB108" s="26">
        <v>0</v>
      </c>
      <c r="AC108" s="26">
        <v>10</v>
      </c>
      <c r="AD108" s="26" t="s">
        <v>2454</v>
      </c>
      <c r="AE108" s="26" t="s">
        <v>2455</v>
      </c>
      <c r="AF108" s="26" t="s">
        <v>2455</v>
      </c>
      <c r="AG108" s="26" t="s">
        <v>2456</v>
      </c>
      <c r="AI108" s="26" t="s">
        <v>167</v>
      </c>
      <c r="AJ108" s="26" t="s">
        <v>168</v>
      </c>
      <c r="AK108" s="26" t="s">
        <v>169</v>
      </c>
      <c r="AM108" s="26" t="s">
        <v>1894</v>
      </c>
      <c r="AN108" s="26" t="s">
        <v>172</v>
      </c>
      <c r="AO108" s="26" t="s">
        <v>2436</v>
      </c>
      <c r="AP108" s="26" t="s">
        <v>162</v>
      </c>
      <c r="AQ108" s="26" t="s">
        <v>2437</v>
      </c>
      <c r="AR108" s="26" t="s">
        <v>2438</v>
      </c>
      <c r="AS108" s="26" t="s">
        <v>321</v>
      </c>
      <c r="AU108" s="26" t="s">
        <v>2439</v>
      </c>
      <c r="AV108" s="26" t="s">
        <v>2439</v>
      </c>
      <c r="AX108" s="26" t="s">
        <v>2440</v>
      </c>
      <c r="AY108" s="26" t="s">
        <v>179</v>
      </c>
      <c r="BC108" s="26" t="s">
        <v>2425</v>
      </c>
      <c r="BD108" s="26" t="s">
        <v>180</v>
      </c>
      <c r="BE108" s="26" t="s">
        <v>1007</v>
      </c>
      <c r="BF108" s="26" t="s">
        <v>167</v>
      </c>
      <c r="BH108" s="26" t="s">
        <v>162</v>
      </c>
      <c r="BI108" s="26" t="s">
        <v>182</v>
      </c>
      <c r="BJ108" s="26" t="s">
        <v>2441</v>
      </c>
      <c r="BK108" s="26" t="s">
        <v>264</v>
      </c>
      <c r="BL108" s="26" t="s">
        <v>185</v>
      </c>
      <c r="BM108" s="26" t="s">
        <v>186</v>
      </c>
      <c r="BN108" s="26" t="s">
        <v>162</v>
      </c>
      <c r="BP108" s="26">
        <v>0</v>
      </c>
      <c r="BQ108" s="26" t="s">
        <v>2442</v>
      </c>
      <c r="BS108" s="26" t="s">
        <v>304</v>
      </c>
      <c r="BT108" s="26" t="s">
        <v>185</v>
      </c>
      <c r="BV108" s="26">
        <v>10.5602</v>
      </c>
      <c r="BW108" s="26">
        <v>0.14</v>
      </c>
      <c r="BZ108" s="26">
        <v>0</v>
      </c>
      <c r="CA108" s="26" t="s">
        <v>189</v>
      </c>
      <c r="CC108" s="26" t="s">
        <v>162</v>
      </c>
      <c r="CD108" s="26">
        <v>0</v>
      </c>
      <c r="CE108" s="26" t="s">
        <v>190</v>
      </c>
      <c r="CF108" s="26" t="s">
        <v>167</v>
      </c>
      <c r="CG108" s="26" t="s">
        <v>2457</v>
      </c>
      <c r="CI108" s="26" t="s">
        <v>1095</v>
      </c>
      <c r="CJ108" s="26">
        <v>75.43</v>
      </c>
      <c r="CK108" s="26">
        <v>0</v>
      </c>
      <c r="CL108" s="26">
        <v>3.77</v>
      </c>
      <c r="CM108" s="26">
        <v>20.48</v>
      </c>
      <c r="CQ108" s="26" t="s">
        <v>233</v>
      </c>
      <c r="CR108" s="26" t="s">
        <v>2444</v>
      </c>
      <c r="CS108" s="26" t="s">
        <v>2445</v>
      </c>
      <c r="CW108" s="26" t="s">
        <v>2446</v>
      </c>
      <c r="CX108" s="26" t="s">
        <v>162</v>
      </c>
      <c r="CY108" s="26" t="s">
        <v>196</v>
      </c>
      <c r="CZ108" s="26">
        <v>0</v>
      </c>
      <c r="DB108" s="26">
        <v>0</v>
      </c>
      <c r="DK108" s="26" t="s">
        <v>150</v>
      </c>
      <c r="DL108" s="26" t="s">
        <v>1527</v>
      </c>
      <c r="DM108" s="26" t="s">
        <v>2447</v>
      </c>
      <c r="DN108" s="26" t="s">
        <v>2448</v>
      </c>
      <c r="DO108" s="26" t="s">
        <v>2399</v>
      </c>
      <c r="DP108" s="26" t="s">
        <v>2449</v>
      </c>
      <c r="DR108" s="26" t="s">
        <v>189</v>
      </c>
      <c r="DS108" s="26" t="s">
        <v>189</v>
      </c>
      <c r="DT108" s="26" t="s">
        <v>189</v>
      </c>
      <c r="DU108" s="26" t="s">
        <v>189</v>
      </c>
      <c r="DV108" s="26" t="s">
        <v>203</v>
      </c>
      <c r="DW108" s="26" t="s">
        <v>162</v>
      </c>
      <c r="DX108" s="26" t="s">
        <v>162</v>
      </c>
      <c r="DY108" s="26">
        <v>0</v>
      </c>
      <c r="DZ108" s="26" t="s">
        <v>150</v>
      </c>
      <c r="EH108" s="26" t="s">
        <v>189</v>
      </c>
      <c r="EI108" s="26">
        <v>0.14</v>
      </c>
      <c r="EJ108" s="26">
        <v>10.5602</v>
      </c>
      <c r="EK108" s="26">
        <v>20.48</v>
      </c>
      <c r="EL108" s="26" t="s">
        <v>2458</v>
      </c>
      <c r="EM108" s="26" t="s">
        <v>206</v>
      </c>
      <c r="EN108" s="26" t="s">
        <v>207</v>
      </c>
    </row>
    <row r="109" spans="1:144">
      <c r="A109" s="26" t="s">
        <v>145</v>
      </c>
      <c r="B109" s="26" t="s">
        <v>1556</v>
      </c>
      <c r="C109" s="26" t="s">
        <v>2459</v>
      </c>
      <c r="D109" s="26" t="s">
        <v>148</v>
      </c>
      <c r="E109" s="26" t="s">
        <v>149</v>
      </c>
      <c r="F109" s="26" t="s">
        <v>152</v>
      </c>
      <c r="G109" s="26" t="s">
        <v>151</v>
      </c>
      <c r="H109" s="26" t="s">
        <v>152</v>
      </c>
      <c r="I109" s="26" t="s">
        <v>153</v>
      </c>
      <c r="J109" s="26" t="s">
        <v>154</v>
      </c>
      <c r="K109" s="26" t="s">
        <v>155</v>
      </c>
      <c r="L109" s="26" t="s">
        <v>1132</v>
      </c>
      <c r="M109" s="26" t="s">
        <v>2460</v>
      </c>
      <c r="N109" s="26" t="s">
        <v>2461</v>
      </c>
      <c r="O109" s="26" t="s">
        <v>2462</v>
      </c>
      <c r="P109" s="26" t="s">
        <v>2463</v>
      </c>
      <c r="Q109" s="26" t="s">
        <v>2464</v>
      </c>
      <c r="R109" s="26">
        <v>152.47386</v>
      </c>
      <c r="S109" s="26" t="s">
        <v>1233</v>
      </c>
      <c r="T109" s="26">
        <v>146.42331</v>
      </c>
      <c r="U109" s="26" t="s">
        <v>217</v>
      </c>
      <c r="V109" s="26" t="s">
        <v>150</v>
      </c>
      <c r="Y109" s="26" t="s">
        <v>2465</v>
      </c>
      <c r="Z109" s="26">
        <v>22.871079</v>
      </c>
      <c r="AA109" s="26">
        <v>0</v>
      </c>
      <c r="AB109" s="26">
        <v>0</v>
      </c>
      <c r="AC109" s="26">
        <v>28</v>
      </c>
      <c r="AD109" s="26" t="s">
        <v>1140</v>
      </c>
      <c r="AE109" s="26" t="s">
        <v>1140</v>
      </c>
      <c r="AF109" s="26" t="s">
        <v>1140</v>
      </c>
      <c r="AG109" s="26" t="s">
        <v>2466</v>
      </c>
      <c r="AI109" s="26" t="s">
        <v>167</v>
      </c>
      <c r="AJ109" s="26" t="s">
        <v>797</v>
      </c>
      <c r="AK109" s="26" t="s">
        <v>798</v>
      </c>
      <c r="AL109" s="26" t="s">
        <v>2467</v>
      </c>
      <c r="AM109" s="26" t="s">
        <v>570</v>
      </c>
      <c r="AN109" s="26" t="s">
        <v>172</v>
      </c>
      <c r="AO109" s="26" t="s">
        <v>257</v>
      </c>
      <c r="AP109" s="26" t="s">
        <v>162</v>
      </c>
      <c r="AQ109" s="26" t="s">
        <v>2468</v>
      </c>
      <c r="AR109" s="26" t="s">
        <v>2469</v>
      </c>
      <c r="AS109" s="26" t="s">
        <v>937</v>
      </c>
      <c r="AU109" s="26" t="s">
        <v>2470</v>
      </c>
      <c r="AV109" s="26" t="s">
        <v>150</v>
      </c>
      <c r="AX109" s="26" t="s">
        <v>1146</v>
      </c>
      <c r="AY109" s="26" t="s">
        <v>179</v>
      </c>
      <c r="BC109" s="26" t="s">
        <v>2459</v>
      </c>
      <c r="BD109" s="26" t="s">
        <v>180</v>
      </c>
      <c r="BE109" s="26" t="s">
        <v>181</v>
      </c>
      <c r="BF109" s="26" t="s">
        <v>167</v>
      </c>
      <c r="BH109" s="26" t="s">
        <v>162</v>
      </c>
      <c r="BI109" s="26" t="s">
        <v>807</v>
      </c>
      <c r="BJ109" s="26" t="s">
        <v>2471</v>
      </c>
      <c r="BK109" s="26" t="s">
        <v>184</v>
      </c>
      <c r="BL109" s="26" t="s">
        <v>185</v>
      </c>
      <c r="BM109" s="26" t="s">
        <v>186</v>
      </c>
      <c r="BN109" s="26" t="s">
        <v>162</v>
      </c>
      <c r="BP109" s="26">
        <v>0</v>
      </c>
      <c r="BQ109" s="26" t="s">
        <v>265</v>
      </c>
      <c r="BS109" s="26" t="s">
        <v>188</v>
      </c>
      <c r="BT109" s="26" t="s">
        <v>185</v>
      </c>
      <c r="BV109" s="26">
        <v>24.3952</v>
      </c>
      <c r="BW109" s="26">
        <v>0.16</v>
      </c>
      <c r="BZ109" s="26">
        <v>0</v>
      </c>
      <c r="CA109" s="26" t="s">
        <v>189</v>
      </c>
      <c r="CC109" s="26" t="s">
        <v>162</v>
      </c>
      <c r="CD109" s="26">
        <v>0</v>
      </c>
      <c r="CE109" s="26" t="s">
        <v>190</v>
      </c>
      <c r="CF109" s="26" t="s">
        <v>167</v>
      </c>
      <c r="CG109" s="26" t="s">
        <v>2472</v>
      </c>
      <c r="CI109" s="26" t="s">
        <v>191</v>
      </c>
      <c r="CJ109" s="26">
        <v>152.47</v>
      </c>
      <c r="CK109" s="26">
        <v>0</v>
      </c>
      <c r="CL109" s="26">
        <v>7.62</v>
      </c>
      <c r="CM109" s="26">
        <v>24.39</v>
      </c>
      <c r="CQ109" s="26" t="s">
        <v>437</v>
      </c>
      <c r="CR109" s="26" t="s">
        <v>2473</v>
      </c>
      <c r="CS109" s="26" t="s">
        <v>2474</v>
      </c>
      <c r="CW109" s="26" t="s">
        <v>2475</v>
      </c>
      <c r="CX109" s="26" t="s">
        <v>167</v>
      </c>
      <c r="CY109" s="26" t="s">
        <v>196</v>
      </c>
      <c r="CZ109" s="26">
        <v>0</v>
      </c>
      <c r="DB109" s="26">
        <v>0</v>
      </c>
      <c r="DK109" s="26" t="s">
        <v>150</v>
      </c>
      <c r="DL109" s="26" t="s">
        <v>581</v>
      </c>
      <c r="DM109" s="26" t="s">
        <v>2476</v>
      </c>
      <c r="DN109" s="26" t="s">
        <v>2477</v>
      </c>
      <c r="DO109" s="26" t="s">
        <v>2478</v>
      </c>
      <c r="DP109" s="26" t="s">
        <v>2479</v>
      </c>
      <c r="DR109" s="26" t="s">
        <v>189</v>
      </c>
      <c r="DS109" s="26" t="s">
        <v>189</v>
      </c>
      <c r="DT109" s="26" t="s">
        <v>189</v>
      </c>
      <c r="DU109" s="26" t="s">
        <v>189</v>
      </c>
      <c r="DV109" s="26" t="s">
        <v>203</v>
      </c>
      <c r="DW109" s="26" t="s">
        <v>162</v>
      </c>
      <c r="DX109" s="26" t="s">
        <v>162</v>
      </c>
      <c r="DY109" s="26">
        <v>0</v>
      </c>
      <c r="DZ109" s="26" t="s">
        <v>150</v>
      </c>
      <c r="EH109" s="26" t="s">
        <v>189</v>
      </c>
      <c r="EI109" s="26">
        <v>0.16</v>
      </c>
      <c r="EJ109" s="26">
        <v>24.3952</v>
      </c>
      <c r="EK109" s="26">
        <v>24.39</v>
      </c>
      <c r="EL109" s="26" t="s">
        <v>2480</v>
      </c>
      <c r="EM109" s="26" t="s">
        <v>206</v>
      </c>
      <c r="EN109" s="26" t="s">
        <v>207</v>
      </c>
    </row>
    <row r="110" spans="1:144">
      <c r="A110" s="26" t="s">
        <v>145</v>
      </c>
      <c r="B110" s="26" t="s">
        <v>1556</v>
      </c>
      <c r="C110" s="26" t="s">
        <v>2481</v>
      </c>
      <c r="D110" s="26" t="s">
        <v>148</v>
      </c>
      <c r="E110" s="26" t="s">
        <v>149</v>
      </c>
      <c r="F110" s="26" t="s">
        <v>152</v>
      </c>
      <c r="G110" s="26" t="s">
        <v>151</v>
      </c>
      <c r="H110" s="26" t="s">
        <v>152</v>
      </c>
      <c r="I110" s="26" t="s">
        <v>153</v>
      </c>
      <c r="J110" s="26" t="s">
        <v>154</v>
      </c>
      <c r="K110" s="26" t="s">
        <v>244</v>
      </c>
      <c r="L110" s="26" t="s">
        <v>549</v>
      </c>
      <c r="M110" s="26" t="s">
        <v>2482</v>
      </c>
      <c r="N110" s="26" t="s">
        <v>2483</v>
      </c>
      <c r="O110" s="26" t="s">
        <v>2484</v>
      </c>
      <c r="P110" s="26" t="s">
        <v>2485</v>
      </c>
      <c r="Q110" s="26" t="s">
        <v>2486</v>
      </c>
      <c r="R110" s="26">
        <v>339.23417</v>
      </c>
      <c r="S110" s="26" t="s">
        <v>1468</v>
      </c>
      <c r="T110" s="26">
        <v>333.18362</v>
      </c>
      <c r="U110" s="26" t="s">
        <v>217</v>
      </c>
      <c r="V110" s="26" t="s">
        <v>150</v>
      </c>
      <c r="Y110" s="26" t="s">
        <v>2487</v>
      </c>
      <c r="Z110" s="26">
        <v>50.8851255</v>
      </c>
      <c r="AA110" s="26">
        <v>0</v>
      </c>
      <c r="AB110" s="26">
        <v>0</v>
      </c>
      <c r="AC110" s="26">
        <v>84</v>
      </c>
      <c r="AD110" s="26" t="s">
        <v>1612</v>
      </c>
      <c r="AE110" s="26" t="s">
        <v>1612</v>
      </c>
      <c r="AF110" s="26" t="s">
        <v>1612</v>
      </c>
      <c r="AG110" s="26" t="s">
        <v>2488</v>
      </c>
      <c r="AI110" s="26" t="s">
        <v>167</v>
      </c>
      <c r="AJ110" s="26" t="s">
        <v>168</v>
      </c>
      <c r="AK110" s="26" t="s">
        <v>169</v>
      </c>
      <c r="AL110" s="26" t="s">
        <v>2489</v>
      </c>
      <c r="AM110" s="26" t="s">
        <v>2490</v>
      </c>
      <c r="AN110" s="26" t="s">
        <v>172</v>
      </c>
      <c r="AO110" s="26" t="s">
        <v>257</v>
      </c>
      <c r="AP110" s="26" t="s">
        <v>162</v>
      </c>
      <c r="AQ110" s="26" t="s">
        <v>2491</v>
      </c>
      <c r="AR110" s="26" t="s">
        <v>2492</v>
      </c>
      <c r="AS110" s="26" t="s">
        <v>1617</v>
      </c>
      <c r="AU110" s="26" t="s">
        <v>2493</v>
      </c>
      <c r="AV110" s="26" t="s">
        <v>2493</v>
      </c>
      <c r="AX110" s="26" t="s">
        <v>1619</v>
      </c>
      <c r="AY110" s="26" t="s">
        <v>179</v>
      </c>
      <c r="BC110" s="26" t="s">
        <v>2481</v>
      </c>
      <c r="BD110" s="26" t="s">
        <v>180</v>
      </c>
      <c r="BE110" s="26" t="s">
        <v>181</v>
      </c>
      <c r="BF110" s="26" t="s">
        <v>167</v>
      </c>
      <c r="BH110" s="26" t="s">
        <v>162</v>
      </c>
      <c r="BI110" s="26" t="s">
        <v>182</v>
      </c>
      <c r="BJ110" s="26" t="s">
        <v>2494</v>
      </c>
      <c r="BK110" s="26" t="s">
        <v>184</v>
      </c>
      <c r="BL110" s="26" t="s">
        <v>185</v>
      </c>
      <c r="BM110" s="26" t="s">
        <v>186</v>
      </c>
      <c r="BN110" s="26" t="s">
        <v>162</v>
      </c>
      <c r="BP110" s="26">
        <v>0</v>
      </c>
      <c r="BQ110" s="26" t="s">
        <v>265</v>
      </c>
      <c r="BS110" s="26" t="s">
        <v>188</v>
      </c>
      <c r="BT110" s="26" t="s">
        <v>185</v>
      </c>
      <c r="BV110" s="26">
        <v>54.2768</v>
      </c>
      <c r="BW110" s="26">
        <v>0.16</v>
      </c>
      <c r="BZ110" s="26">
        <v>0</v>
      </c>
      <c r="CA110" s="26" t="s">
        <v>189</v>
      </c>
      <c r="CC110" s="26" t="s">
        <v>162</v>
      </c>
      <c r="CD110" s="26">
        <v>0</v>
      </c>
      <c r="CE110" s="26" t="s">
        <v>190</v>
      </c>
      <c r="CF110" s="26" t="s">
        <v>167</v>
      </c>
      <c r="CG110" s="26" t="s">
        <v>2495</v>
      </c>
      <c r="CI110" s="26" t="s">
        <v>267</v>
      </c>
      <c r="CJ110" s="26">
        <v>339.23</v>
      </c>
      <c r="CK110" s="26">
        <v>0</v>
      </c>
      <c r="CL110" s="26">
        <v>16.96</v>
      </c>
      <c r="CM110" s="26">
        <v>37</v>
      </c>
      <c r="CQ110" s="26" t="s">
        <v>233</v>
      </c>
      <c r="CR110" s="26" t="s">
        <v>2496</v>
      </c>
      <c r="CS110" s="26" t="s">
        <v>2497</v>
      </c>
      <c r="CW110" s="26" t="s">
        <v>1624</v>
      </c>
      <c r="CX110" s="26" t="s">
        <v>167</v>
      </c>
      <c r="CY110" s="26" t="s">
        <v>196</v>
      </c>
      <c r="CZ110" s="26">
        <v>0</v>
      </c>
      <c r="DB110" s="26">
        <v>0</v>
      </c>
      <c r="DK110" s="26" t="s">
        <v>150</v>
      </c>
      <c r="DL110" s="26" t="s">
        <v>390</v>
      </c>
      <c r="DM110" s="26" t="s">
        <v>2476</v>
      </c>
      <c r="DN110" s="26" t="s">
        <v>2498</v>
      </c>
      <c r="DO110" s="26" t="s">
        <v>2478</v>
      </c>
      <c r="DP110" s="26" t="s">
        <v>2499</v>
      </c>
      <c r="DR110" s="26" t="s">
        <v>189</v>
      </c>
      <c r="DS110" s="26" t="s">
        <v>189</v>
      </c>
      <c r="DT110" s="26" t="s">
        <v>189</v>
      </c>
      <c r="DU110" s="26" t="s">
        <v>189</v>
      </c>
      <c r="DV110" s="26" t="s">
        <v>203</v>
      </c>
      <c r="DW110" s="26" t="s">
        <v>162</v>
      </c>
      <c r="DX110" s="26" t="s">
        <v>162</v>
      </c>
      <c r="DY110" s="26">
        <v>0</v>
      </c>
      <c r="DZ110" s="26" t="s">
        <v>150</v>
      </c>
      <c r="EH110" s="26" t="s">
        <v>189</v>
      </c>
      <c r="EI110" s="26">
        <v>0.16</v>
      </c>
      <c r="EJ110" s="26">
        <v>54.2768</v>
      </c>
      <c r="EK110" s="26">
        <v>37</v>
      </c>
      <c r="EL110" s="26" t="s">
        <v>2500</v>
      </c>
      <c r="EM110" s="26" t="s">
        <v>206</v>
      </c>
      <c r="EN110" s="26" t="s">
        <v>207</v>
      </c>
    </row>
    <row r="111" spans="1:144">
      <c r="A111" s="26" t="s">
        <v>145</v>
      </c>
      <c r="B111" s="26" t="s">
        <v>1556</v>
      </c>
      <c r="C111" s="26" t="s">
        <v>2501</v>
      </c>
      <c r="D111" s="26" t="s">
        <v>148</v>
      </c>
      <c r="E111" s="26" t="s">
        <v>149</v>
      </c>
      <c r="F111" s="26" t="s">
        <v>152</v>
      </c>
      <c r="G111" s="26" t="s">
        <v>151</v>
      </c>
      <c r="H111" s="26" t="s">
        <v>152</v>
      </c>
      <c r="I111" s="26" t="s">
        <v>153</v>
      </c>
      <c r="J111" s="26" t="s">
        <v>154</v>
      </c>
      <c r="K111" s="26" t="s">
        <v>244</v>
      </c>
      <c r="L111" s="26" t="s">
        <v>2502</v>
      </c>
      <c r="M111" s="26" t="s">
        <v>2503</v>
      </c>
      <c r="N111" s="26" t="s">
        <v>2504</v>
      </c>
      <c r="O111" s="26" t="s">
        <v>2505</v>
      </c>
      <c r="P111" s="26" t="s">
        <v>2506</v>
      </c>
      <c r="Q111" s="26" t="s">
        <v>2507</v>
      </c>
      <c r="R111" s="26">
        <v>350.12516</v>
      </c>
      <c r="S111" s="26" t="s">
        <v>2508</v>
      </c>
      <c r="T111" s="26">
        <v>344.07461</v>
      </c>
      <c r="U111" s="26" t="s">
        <v>217</v>
      </c>
      <c r="V111" s="26" t="s">
        <v>150</v>
      </c>
      <c r="Y111" s="26" t="s">
        <v>2509</v>
      </c>
      <c r="Z111" s="26">
        <v>52.518774</v>
      </c>
      <c r="AA111" s="26">
        <v>0</v>
      </c>
      <c r="AB111" s="26">
        <v>0</v>
      </c>
      <c r="AC111" s="26">
        <v>53.13</v>
      </c>
      <c r="AD111" s="26" t="s">
        <v>2510</v>
      </c>
      <c r="AE111" s="26" t="s">
        <v>2510</v>
      </c>
      <c r="AF111" s="26" t="s">
        <v>2510</v>
      </c>
      <c r="AG111" s="26" t="s">
        <v>2511</v>
      </c>
      <c r="AI111" s="26" t="s">
        <v>167</v>
      </c>
      <c r="AJ111" s="26" t="s">
        <v>168</v>
      </c>
      <c r="AK111" s="26" t="s">
        <v>169</v>
      </c>
      <c r="AL111" s="26" t="s">
        <v>1516</v>
      </c>
      <c r="AM111" s="26" t="s">
        <v>2349</v>
      </c>
      <c r="AN111" s="26" t="s">
        <v>172</v>
      </c>
      <c r="AO111" s="26" t="s">
        <v>2512</v>
      </c>
      <c r="AP111" s="26" t="s">
        <v>162</v>
      </c>
      <c r="AQ111" s="26" t="s">
        <v>2513</v>
      </c>
      <c r="AR111" s="26" t="s">
        <v>2514</v>
      </c>
      <c r="AS111" s="26" t="s">
        <v>2515</v>
      </c>
      <c r="AU111" s="26" t="s">
        <v>2516</v>
      </c>
      <c r="AV111" s="26" t="s">
        <v>2516</v>
      </c>
      <c r="AX111" s="26" t="s">
        <v>2517</v>
      </c>
      <c r="AY111" s="26" t="s">
        <v>179</v>
      </c>
      <c r="BC111" s="26" t="s">
        <v>2501</v>
      </c>
      <c r="BD111" s="26" t="s">
        <v>180</v>
      </c>
      <c r="BE111" s="26" t="s">
        <v>181</v>
      </c>
      <c r="BF111" s="26" t="s">
        <v>167</v>
      </c>
      <c r="BH111" s="26" t="s">
        <v>162</v>
      </c>
      <c r="BI111" s="26" t="s">
        <v>182</v>
      </c>
      <c r="BJ111" s="26" t="s">
        <v>2518</v>
      </c>
      <c r="BK111" s="26" t="s">
        <v>184</v>
      </c>
      <c r="BL111" s="26" t="s">
        <v>185</v>
      </c>
      <c r="BM111" s="26" t="s">
        <v>186</v>
      </c>
      <c r="BN111" s="26" t="s">
        <v>162</v>
      </c>
      <c r="BP111" s="26">
        <v>0</v>
      </c>
      <c r="BQ111" s="26" t="s">
        <v>1702</v>
      </c>
      <c r="BS111" s="26" t="s">
        <v>188</v>
      </c>
      <c r="BT111" s="26" t="s">
        <v>185</v>
      </c>
      <c r="BV111" s="26">
        <v>56.0208</v>
      </c>
      <c r="BW111" s="26">
        <v>0.16</v>
      </c>
      <c r="BZ111" s="26">
        <v>0</v>
      </c>
      <c r="CA111" s="26" t="s">
        <v>189</v>
      </c>
      <c r="CC111" s="26" t="s">
        <v>162</v>
      </c>
      <c r="CD111" s="26">
        <v>0</v>
      </c>
      <c r="CE111" s="26" t="s">
        <v>190</v>
      </c>
      <c r="CF111" s="26" t="s">
        <v>167</v>
      </c>
      <c r="CG111" s="26" t="s">
        <v>2519</v>
      </c>
      <c r="CI111" s="26" t="s">
        <v>267</v>
      </c>
      <c r="CJ111" s="26">
        <v>350.13</v>
      </c>
      <c r="CK111" s="26">
        <v>0</v>
      </c>
      <c r="CL111" s="26">
        <v>17.51</v>
      </c>
      <c r="CM111" s="26">
        <v>114.64</v>
      </c>
      <c r="CQ111" s="26" t="s">
        <v>605</v>
      </c>
      <c r="CR111" s="26" t="s">
        <v>1524</v>
      </c>
      <c r="CS111" s="26" t="s">
        <v>2520</v>
      </c>
      <c r="CW111" s="26" t="s">
        <v>2521</v>
      </c>
      <c r="CX111" s="26" t="s">
        <v>162</v>
      </c>
      <c r="CY111" s="26" t="s">
        <v>196</v>
      </c>
      <c r="CZ111" s="26">
        <v>0</v>
      </c>
      <c r="DB111" s="26">
        <v>0</v>
      </c>
      <c r="DK111" s="26" t="s">
        <v>150</v>
      </c>
      <c r="DL111" s="26" t="s">
        <v>729</v>
      </c>
      <c r="DM111" s="26" t="s">
        <v>2476</v>
      </c>
      <c r="DN111" s="26" t="s">
        <v>2522</v>
      </c>
      <c r="DO111" s="26" t="s">
        <v>2478</v>
      </c>
      <c r="DP111" s="26" t="s">
        <v>2523</v>
      </c>
      <c r="DR111" s="26" t="s">
        <v>189</v>
      </c>
      <c r="DS111" s="26" t="s">
        <v>189</v>
      </c>
      <c r="DT111" s="26" t="s">
        <v>189</v>
      </c>
      <c r="DU111" s="26" t="s">
        <v>189</v>
      </c>
      <c r="DV111" s="26" t="s">
        <v>203</v>
      </c>
      <c r="DW111" s="26" t="s">
        <v>162</v>
      </c>
      <c r="DX111" s="26" t="s">
        <v>162</v>
      </c>
      <c r="DY111" s="26">
        <v>0</v>
      </c>
      <c r="DZ111" s="26" t="s">
        <v>150</v>
      </c>
      <c r="EH111" s="26" t="s">
        <v>189</v>
      </c>
      <c r="EI111" s="26">
        <v>0.16</v>
      </c>
      <c r="EJ111" s="26">
        <v>56.0208</v>
      </c>
      <c r="EK111" s="26">
        <v>114.64</v>
      </c>
      <c r="EL111" s="26" t="s">
        <v>2524</v>
      </c>
      <c r="EM111" s="26" t="s">
        <v>206</v>
      </c>
      <c r="EN111" s="26" t="s">
        <v>207</v>
      </c>
    </row>
    <row r="112" spans="1:144">
      <c r="A112" s="26" t="s">
        <v>145</v>
      </c>
      <c r="B112" s="26" t="s">
        <v>1556</v>
      </c>
      <c r="C112" s="26" t="s">
        <v>2525</v>
      </c>
      <c r="D112" s="26" t="s">
        <v>148</v>
      </c>
      <c r="E112" s="26" t="s">
        <v>149</v>
      </c>
      <c r="F112" s="26" t="s">
        <v>152</v>
      </c>
      <c r="G112" s="26" t="s">
        <v>151</v>
      </c>
      <c r="H112" s="26" t="s">
        <v>152</v>
      </c>
      <c r="I112" s="26" t="s">
        <v>153</v>
      </c>
      <c r="J112" s="26" t="s">
        <v>154</v>
      </c>
      <c r="K112" s="26" t="s">
        <v>244</v>
      </c>
      <c r="L112" s="26" t="s">
        <v>707</v>
      </c>
      <c r="M112" s="26" t="s">
        <v>2526</v>
      </c>
      <c r="N112" s="26" t="s">
        <v>2527</v>
      </c>
      <c r="O112" s="26" t="s">
        <v>2528</v>
      </c>
      <c r="P112" s="26" t="s">
        <v>2529</v>
      </c>
      <c r="Q112" s="26" t="s">
        <v>2530</v>
      </c>
      <c r="R112" s="26">
        <v>197.24793</v>
      </c>
      <c r="S112" s="26" t="s">
        <v>2531</v>
      </c>
      <c r="T112" s="26">
        <v>191.19738</v>
      </c>
      <c r="U112" s="26" t="s">
        <v>217</v>
      </c>
      <c r="V112" s="26" t="s">
        <v>150</v>
      </c>
      <c r="Y112" s="26" t="s">
        <v>2532</v>
      </c>
      <c r="Z112" s="26">
        <v>29.5871895</v>
      </c>
      <c r="AA112" s="26">
        <v>0</v>
      </c>
      <c r="AB112" s="26">
        <v>0</v>
      </c>
      <c r="AC112" s="26">
        <v>35</v>
      </c>
      <c r="AD112" s="26" t="s">
        <v>458</v>
      </c>
      <c r="AE112" s="26" t="s">
        <v>458</v>
      </c>
      <c r="AF112" s="26" t="s">
        <v>458</v>
      </c>
      <c r="AG112" s="26" t="s">
        <v>2533</v>
      </c>
      <c r="AI112" s="26" t="s">
        <v>167</v>
      </c>
      <c r="AJ112" s="26" t="s">
        <v>168</v>
      </c>
      <c r="AK112" s="26" t="s">
        <v>169</v>
      </c>
      <c r="AL112" s="26" t="s">
        <v>2534</v>
      </c>
      <c r="AM112" s="26" t="s">
        <v>294</v>
      </c>
      <c r="AN112" s="26" t="s">
        <v>172</v>
      </c>
      <c r="AO112" s="26" t="s">
        <v>2142</v>
      </c>
      <c r="AP112" s="26" t="s">
        <v>162</v>
      </c>
      <c r="AQ112" s="26" t="s">
        <v>2535</v>
      </c>
      <c r="AR112" s="26" t="s">
        <v>2536</v>
      </c>
      <c r="AS112" s="26" t="s">
        <v>381</v>
      </c>
      <c r="AU112" s="26" t="s">
        <v>2537</v>
      </c>
      <c r="AV112" s="26" t="s">
        <v>2537</v>
      </c>
      <c r="AX112" s="26" t="s">
        <v>2538</v>
      </c>
      <c r="AY112" s="26" t="s">
        <v>179</v>
      </c>
      <c r="BC112" s="26" t="s">
        <v>2525</v>
      </c>
      <c r="BD112" s="26" t="s">
        <v>180</v>
      </c>
      <c r="BE112" s="26" t="s">
        <v>181</v>
      </c>
      <c r="BF112" s="26" t="s">
        <v>167</v>
      </c>
      <c r="BH112" s="26" t="s">
        <v>162</v>
      </c>
      <c r="BI112" s="26" t="s">
        <v>182</v>
      </c>
      <c r="BJ112" s="26" t="s">
        <v>2539</v>
      </c>
      <c r="BK112" s="26" t="s">
        <v>184</v>
      </c>
      <c r="BL112" s="26" t="s">
        <v>185</v>
      </c>
      <c r="BM112" s="26" t="s">
        <v>186</v>
      </c>
      <c r="BN112" s="26" t="s">
        <v>162</v>
      </c>
      <c r="BP112" s="26">
        <v>0</v>
      </c>
      <c r="BR112" s="26" t="s">
        <v>385</v>
      </c>
      <c r="BS112" s="26" t="s">
        <v>354</v>
      </c>
      <c r="BT112" s="26" t="s">
        <v>185</v>
      </c>
      <c r="BV112" s="26">
        <v>31.56</v>
      </c>
      <c r="BW112" s="26">
        <v>0.16</v>
      </c>
      <c r="BZ112" s="26">
        <v>0</v>
      </c>
      <c r="CA112" s="26" t="s">
        <v>189</v>
      </c>
      <c r="CC112" s="26" t="s">
        <v>162</v>
      </c>
      <c r="CD112" s="26">
        <v>0</v>
      </c>
      <c r="CE112" s="26" t="s">
        <v>190</v>
      </c>
      <c r="CF112" s="26" t="s">
        <v>167</v>
      </c>
      <c r="CG112" s="26" t="s">
        <v>2540</v>
      </c>
      <c r="CI112" s="26" t="s">
        <v>267</v>
      </c>
      <c r="CJ112" s="26">
        <v>197.25</v>
      </c>
      <c r="CK112" s="26">
        <v>0</v>
      </c>
      <c r="CL112" s="26">
        <v>9.86</v>
      </c>
      <c r="CM112" s="26">
        <v>39</v>
      </c>
      <c r="CQ112" s="26" t="s">
        <v>233</v>
      </c>
      <c r="CR112" s="26" t="s">
        <v>2541</v>
      </c>
      <c r="CS112" s="26" t="s">
        <v>2542</v>
      </c>
      <c r="CW112" s="26" t="s">
        <v>2543</v>
      </c>
      <c r="CX112" s="26" t="s">
        <v>162</v>
      </c>
      <c r="CY112" s="26" t="s">
        <v>196</v>
      </c>
      <c r="CZ112" s="26">
        <v>0</v>
      </c>
      <c r="DB112" s="26">
        <v>0</v>
      </c>
      <c r="DK112" s="26" t="s">
        <v>150</v>
      </c>
      <c r="DL112" s="26" t="s">
        <v>237</v>
      </c>
      <c r="DM112" s="26" t="s">
        <v>2476</v>
      </c>
      <c r="DN112" s="26" t="s">
        <v>2544</v>
      </c>
      <c r="DO112" s="26" t="s">
        <v>2478</v>
      </c>
      <c r="DP112" s="26" t="s">
        <v>2545</v>
      </c>
      <c r="DR112" s="26" t="s">
        <v>189</v>
      </c>
      <c r="DS112" s="26" t="s">
        <v>189</v>
      </c>
      <c r="DT112" s="26" t="s">
        <v>189</v>
      </c>
      <c r="DU112" s="26" t="s">
        <v>189</v>
      </c>
      <c r="DV112" s="26" t="s">
        <v>203</v>
      </c>
      <c r="DW112" s="26" t="s">
        <v>162</v>
      </c>
      <c r="DX112" s="26" t="s">
        <v>162</v>
      </c>
      <c r="DY112" s="26">
        <v>0</v>
      </c>
      <c r="DZ112" s="26" t="s">
        <v>150</v>
      </c>
      <c r="EH112" s="26" t="s">
        <v>189</v>
      </c>
      <c r="EI112" s="26">
        <v>0.16</v>
      </c>
      <c r="EJ112" s="26">
        <v>31.56</v>
      </c>
      <c r="EK112" s="26">
        <v>39</v>
      </c>
      <c r="EL112" s="26" t="s">
        <v>2546</v>
      </c>
      <c r="EM112" s="26" t="s">
        <v>206</v>
      </c>
      <c r="EN112" s="26" t="s">
        <v>207</v>
      </c>
    </row>
    <row r="113" spans="1:144">
      <c r="A113" s="26" t="s">
        <v>145</v>
      </c>
      <c r="B113" s="26" t="s">
        <v>1556</v>
      </c>
      <c r="C113" s="26" t="s">
        <v>2547</v>
      </c>
      <c r="D113" s="26" t="s">
        <v>148</v>
      </c>
      <c r="E113" s="26" t="s">
        <v>149</v>
      </c>
      <c r="F113" s="26" t="s">
        <v>152</v>
      </c>
      <c r="G113" s="26" t="s">
        <v>151</v>
      </c>
      <c r="H113" s="26" t="s">
        <v>152</v>
      </c>
      <c r="I113" s="26" t="s">
        <v>153</v>
      </c>
      <c r="J113" s="26" t="s">
        <v>154</v>
      </c>
      <c r="K113" s="26" t="s">
        <v>989</v>
      </c>
      <c r="L113" s="26" t="s">
        <v>1367</v>
      </c>
      <c r="M113" s="26" t="s">
        <v>2548</v>
      </c>
      <c r="N113" s="26" t="s">
        <v>2549</v>
      </c>
      <c r="O113" s="26" t="s">
        <v>2550</v>
      </c>
      <c r="P113" s="26" t="s">
        <v>2551</v>
      </c>
      <c r="Q113" s="26" t="s">
        <v>2539</v>
      </c>
      <c r="R113" s="26">
        <v>46.38755</v>
      </c>
      <c r="S113" s="26" t="s">
        <v>2552</v>
      </c>
      <c r="T113" s="26">
        <v>40.337</v>
      </c>
      <c r="U113" s="26" t="s">
        <v>217</v>
      </c>
      <c r="V113" s="26" t="s">
        <v>150</v>
      </c>
      <c r="Y113" s="26" t="s">
        <v>2553</v>
      </c>
      <c r="Z113" s="26">
        <v>6.9581325</v>
      </c>
      <c r="AA113" s="26">
        <v>0</v>
      </c>
      <c r="AB113" s="26">
        <v>0</v>
      </c>
      <c r="AC113" s="26">
        <v>3</v>
      </c>
      <c r="AD113" s="26" t="s">
        <v>2554</v>
      </c>
      <c r="AE113" s="26" t="s">
        <v>2554</v>
      </c>
      <c r="AF113" s="26" t="s">
        <v>2554</v>
      </c>
      <c r="AG113" s="26" t="s">
        <v>2555</v>
      </c>
      <c r="AI113" s="26" t="s">
        <v>167</v>
      </c>
      <c r="AJ113" s="26" t="s">
        <v>168</v>
      </c>
      <c r="AK113" s="26" t="s">
        <v>169</v>
      </c>
      <c r="AL113" s="26" t="s">
        <v>1013</v>
      </c>
      <c r="AM113" s="26" t="s">
        <v>467</v>
      </c>
      <c r="AN113" s="26" t="s">
        <v>172</v>
      </c>
      <c r="AO113" s="26" t="s">
        <v>2556</v>
      </c>
      <c r="AP113" s="26" t="s">
        <v>167</v>
      </c>
      <c r="AQ113" s="26" t="s">
        <v>2557</v>
      </c>
      <c r="AR113" s="26" t="s">
        <v>2558</v>
      </c>
      <c r="AS113" s="26" t="s">
        <v>2069</v>
      </c>
      <c r="AU113" s="26" t="s">
        <v>2559</v>
      </c>
      <c r="AV113" s="26" t="s">
        <v>2559</v>
      </c>
      <c r="AX113" s="26" t="s">
        <v>2560</v>
      </c>
      <c r="AY113" s="26" t="s">
        <v>179</v>
      </c>
      <c r="BC113" s="26" t="s">
        <v>2547</v>
      </c>
      <c r="BD113" s="26" t="s">
        <v>180</v>
      </c>
      <c r="BE113" s="26" t="s">
        <v>1007</v>
      </c>
      <c r="BF113" s="26" t="s">
        <v>167</v>
      </c>
      <c r="BH113" s="26" t="s">
        <v>162</v>
      </c>
      <c r="BI113" s="26" t="s">
        <v>182</v>
      </c>
      <c r="BJ113" s="26" t="s">
        <v>2561</v>
      </c>
      <c r="BK113" s="26" t="s">
        <v>1902</v>
      </c>
      <c r="BL113" s="26" t="s">
        <v>185</v>
      </c>
      <c r="BM113" s="26" t="s">
        <v>186</v>
      </c>
      <c r="BN113" s="26" t="s">
        <v>162</v>
      </c>
      <c r="BP113" s="26">
        <v>0</v>
      </c>
      <c r="BQ113" s="26" t="s">
        <v>1600</v>
      </c>
      <c r="BR113" s="26" t="s">
        <v>1601</v>
      </c>
      <c r="BS113" s="26" t="s">
        <v>188</v>
      </c>
      <c r="BT113" s="26" t="s">
        <v>185</v>
      </c>
      <c r="BV113" s="26">
        <v>2.7834</v>
      </c>
      <c r="BW113" s="26">
        <v>0.06</v>
      </c>
      <c r="BZ113" s="26">
        <v>0</v>
      </c>
      <c r="CA113" s="26" t="s">
        <v>189</v>
      </c>
      <c r="CC113" s="26" t="s">
        <v>162</v>
      </c>
      <c r="CD113" s="26">
        <v>0</v>
      </c>
      <c r="CE113" s="26" t="s">
        <v>190</v>
      </c>
      <c r="CF113" s="26" t="s">
        <v>167</v>
      </c>
      <c r="CG113" s="26" t="s">
        <v>2562</v>
      </c>
      <c r="CI113" s="26" t="s">
        <v>1009</v>
      </c>
      <c r="CJ113" s="26">
        <v>46.39</v>
      </c>
      <c r="CK113" s="26">
        <v>0</v>
      </c>
      <c r="CL113" s="26">
        <v>2.32</v>
      </c>
      <c r="CM113" s="26">
        <v>8.39</v>
      </c>
      <c r="CQ113" s="26" t="s">
        <v>437</v>
      </c>
      <c r="CR113" s="26" t="s">
        <v>2563</v>
      </c>
      <c r="CS113" s="26" t="s">
        <v>2564</v>
      </c>
      <c r="CW113" s="26" t="s">
        <v>2565</v>
      </c>
      <c r="CX113" s="26" t="s">
        <v>162</v>
      </c>
      <c r="CY113" s="26" t="s">
        <v>196</v>
      </c>
      <c r="CZ113" s="26">
        <v>0</v>
      </c>
      <c r="DB113" s="26">
        <v>0</v>
      </c>
      <c r="DK113" s="26" t="s">
        <v>150</v>
      </c>
      <c r="DL113" s="26" t="s">
        <v>581</v>
      </c>
      <c r="DM113" s="26" t="s">
        <v>2476</v>
      </c>
      <c r="DN113" s="26" t="s">
        <v>2566</v>
      </c>
      <c r="DO113" s="26" t="s">
        <v>2478</v>
      </c>
      <c r="DP113" s="26" t="s">
        <v>2567</v>
      </c>
      <c r="DR113" s="26" t="s">
        <v>189</v>
      </c>
      <c r="DS113" s="26" t="s">
        <v>189</v>
      </c>
      <c r="DT113" s="26" t="s">
        <v>189</v>
      </c>
      <c r="DU113" s="26" t="s">
        <v>189</v>
      </c>
      <c r="DV113" s="26" t="s">
        <v>203</v>
      </c>
      <c r="DW113" s="26" t="s">
        <v>162</v>
      </c>
      <c r="DX113" s="26" t="s">
        <v>162</v>
      </c>
      <c r="DY113" s="26">
        <v>0</v>
      </c>
      <c r="DZ113" s="26" t="s">
        <v>150</v>
      </c>
      <c r="EH113" s="26" t="s">
        <v>189</v>
      </c>
      <c r="EI113" s="26">
        <v>0.06</v>
      </c>
      <c r="EJ113" s="26">
        <v>2.7834</v>
      </c>
      <c r="EK113" s="26">
        <v>8.39</v>
      </c>
      <c r="EL113" s="26" t="s">
        <v>2568</v>
      </c>
      <c r="EM113" s="26" t="s">
        <v>206</v>
      </c>
      <c r="EN113" s="26" t="s">
        <v>207</v>
      </c>
    </row>
    <row r="114" spans="1:144">
      <c r="A114" s="26" t="s">
        <v>145</v>
      </c>
      <c r="B114" s="26" t="s">
        <v>1556</v>
      </c>
      <c r="C114" s="26" t="s">
        <v>2569</v>
      </c>
      <c r="D114" s="26" t="s">
        <v>148</v>
      </c>
      <c r="E114" s="26" t="s">
        <v>149</v>
      </c>
      <c r="F114" s="26" t="s">
        <v>152</v>
      </c>
      <c r="G114" s="26" t="s">
        <v>151</v>
      </c>
      <c r="H114" s="26" t="s">
        <v>152</v>
      </c>
      <c r="I114" s="26" t="s">
        <v>153</v>
      </c>
      <c r="J114" s="26" t="s">
        <v>154</v>
      </c>
      <c r="K114" s="26" t="s">
        <v>244</v>
      </c>
      <c r="L114" s="26" t="s">
        <v>366</v>
      </c>
      <c r="M114" s="26" t="s">
        <v>2570</v>
      </c>
      <c r="N114" s="26" t="s">
        <v>2571</v>
      </c>
      <c r="O114" s="26" t="s">
        <v>2572</v>
      </c>
      <c r="P114" s="26" t="s">
        <v>2573</v>
      </c>
      <c r="Q114" s="26" t="s">
        <v>928</v>
      </c>
      <c r="R114" s="26">
        <v>275.50171</v>
      </c>
      <c r="S114" s="26" t="s">
        <v>2574</v>
      </c>
      <c r="T114" s="26">
        <v>269.45116</v>
      </c>
      <c r="U114" s="26" t="s">
        <v>217</v>
      </c>
      <c r="V114" s="26" t="s">
        <v>150</v>
      </c>
      <c r="Y114" s="26" t="s">
        <v>2575</v>
      </c>
      <c r="Z114" s="26">
        <v>41.3252565</v>
      </c>
      <c r="AA114" s="26">
        <v>0</v>
      </c>
      <c r="AB114" s="26">
        <v>0</v>
      </c>
      <c r="AC114" s="26">
        <v>83</v>
      </c>
      <c r="AD114" s="26" t="s">
        <v>2576</v>
      </c>
      <c r="AE114" s="26" t="s">
        <v>2576</v>
      </c>
      <c r="AF114" s="26" t="s">
        <v>2576</v>
      </c>
      <c r="AG114" s="26" t="s">
        <v>2577</v>
      </c>
      <c r="AI114" s="26" t="s">
        <v>167</v>
      </c>
      <c r="AJ114" s="26" t="s">
        <v>168</v>
      </c>
      <c r="AK114" s="26" t="s">
        <v>169</v>
      </c>
      <c r="AL114" s="26" t="s">
        <v>1377</v>
      </c>
      <c r="AM114" s="26" t="s">
        <v>256</v>
      </c>
      <c r="AN114" s="26" t="s">
        <v>172</v>
      </c>
      <c r="AO114" s="26" t="s">
        <v>2578</v>
      </c>
      <c r="AP114" s="26" t="s">
        <v>162</v>
      </c>
      <c r="AQ114" s="26" t="s">
        <v>2579</v>
      </c>
      <c r="AR114" s="26" t="s">
        <v>2580</v>
      </c>
      <c r="AS114" s="26" t="s">
        <v>1289</v>
      </c>
      <c r="AU114" s="26" t="s">
        <v>2581</v>
      </c>
      <c r="AV114" s="26" t="s">
        <v>2581</v>
      </c>
      <c r="AX114" s="26" t="s">
        <v>2582</v>
      </c>
      <c r="AY114" s="26" t="s">
        <v>179</v>
      </c>
      <c r="BC114" s="26" t="s">
        <v>2569</v>
      </c>
      <c r="BD114" s="26" t="s">
        <v>180</v>
      </c>
      <c r="BE114" s="26" t="s">
        <v>181</v>
      </c>
      <c r="BF114" s="26" t="s">
        <v>167</v>
      </c>
      <c r="BH114" s="26" t="s">
        <v>162</v>
      </c>
      <c r="BI114" s="26" t="s">
        <v>182</v>
      </c>
      <c r="BJ114" s="26" t="s">
        <v>2583</v>
      </c>
      <c r="BK114" s="26" t="s">
        <v>184</v>
      </c>
      <c r="BL114" s="26" t="s">
        <v>185</v>
      </c>
      <c r="BM114" s="26" t="s">
        <v>186</v>
      </c>
      <c r="BN114" s="26" t="s">
        <v>162</v>
      </c>
      <c r="BP114" s="26">
        <v>0</v>
      </c>
      <c r="BR114" s="26" t="s">
        <v>385</v>
      </c>
      <c r="BS114" s="26" t="s">
        <v>354</v>
      </c>
      <c r="BT114" s="26" t="s">
        <v>185</v>
      </c>
      <c r="BV114" s="26">
        <v>44.08</v>
      </c>
      <c r="BW114" s="26">
        <v>0.16</v>
      </c>
      <c r="BZ114" s="26">
        <v>0</v>
      </c>
      <c r="CA114" s="26" t="s">
        <v>189</v>
      </c>
      <c r="CC114" s="26" t="s">
        <v>162</v>
      </c>
      <c r="CD114" s="26">
        <v>0</v>
      </c>
      <c r="CE114" s="26" t="s">
        <v>190</v>
      </c>
      <c r="CF114" s="26" t="s">
        <v>167</v>
      </c>
      <c r="CG114" s="26" t="s">
        <v>2584</v>
      </c>
      <c r="CI114" s="26" t="s">
        <v>267</v>
      </c>
      <c r="CJ114" s="26">
        <v>275.5</v>
      </c>
      <c r="CK114" s="26">
        <v>0</v>
      </c>
      <c r="CL114" s="26">
        <v>13.78</v>
      </c>
      <c r="CM114" s="26">
        <v>40.69</v>
      </c>
      <c r="CQ114" s="26" t="s">
        <v>192</v>
      </c>
      <c r="CR114" s="26" t="s">
        <v>1388</v>
      </c>
      <c r="CS114" s="26" t="s">
        <v>2585</v>
      </c>
      <c r="CW114" s="26" t="s">
        <v>2586</v>
      </c>
      <c r="CX114" s="26" t="s">
        <v>162</v>
      </c>
      <c r="CY114" s="26" t="s">
        <v>196</v>
      </c>
      <c r="CZ114" s="26">
        <v>0</v>
      </c>
      <c r="DB114" s="26">
        <v>0</v>
      </c>
      <c r="DK114" s="26" t="s">
        <v>150</v>
      </c>
      <c r="DL114" s="26" t="s">
        <v>1706</v>
      </c>
      <c r="DM114" s="26" t="s">
        <v>2476</v>
      </c>
      <c r="DN114" s="26" t="s">
        <v>2587</v>
      </c>
      <c r="DO114" s="26" t="s">
        <v>2588</v>
      </c>
      <c r="DP114" s="26" t="s">
        <v>2589</v>
      </c>
      <c r="DR114" s="26" t="s">
        <v>189</v>
      </c>
      <c r="DS114" s="26" t="s">
        <v>189</v>
      </c>
      <c r="DT114" s="26" t="s">
        <v>189</v>
      </c>
      <c r="DU114" s="26" t="s">
        <v>189</v>
      </c>
      <c r="DV114" s="26" t="s">
        <v>203</v>
      </c>
      <c r="DW114" s="26" t="s">
        <v>162</v>
      </c>
      <c r="DX114" s="26" t="s">
        <v>162</v>
      </c>
      <c r="DY114" s="26">
        <v>0</v>
      </c>
      <c r="DZ114" s="26" t="s">
        <v>150</v>
      </c>
      <c r="EH114" s="26" t="s">
        <v>189</v>
      </c>
      <c r="EI114" s="26">
        <v>0.16</v>
      </c>
      <c r="EJ114" s="26">
        <v>44.08</v>
      </c>
      <c r="EK114" s="26">
        <v>40.69</v>
      </c>
      <c r="EL114" s="26" t="s">
        <v>2590</v>
      </c>
      <c r="EM114" s="26" t="s">
        <v>206</v>
      </c>
      <c r="EN114" s="26" t="s">
        <v>207</v>
      </c>
    </row>
    <row r="115" spans="1:144">
      <c r="A115" s="26" t="s">
        <v>145</v>
      </c>
      <c r="B115" s="26" t="s">
        <v>1556</v>
      </c>
      <c r="C115" s="26" t="s">
        <v>2591</v>
      </c>
      <c r="D115" s="26" t="s">
        <v>148</v>
      </c>
      <c r="E115" s="26" t="s">
        <v>149</v>
      </c>
      <c r="F115" s="26" t="s">
        <v>152</v>
      </c>
      <c r="G115" s="26" t="s">
        <v>151</v>
      </c>
      <c r="H115" s="26" t="s">
        <v>152</v>
      </c>
      <c r="I115" s="26" t="s">
        <v>153</v>
      </c>
      <c r="J115" s="26" t="s">
        <v>154</v>
      </c>
      <c r="K115" s="26" t="s">
        <v>244</v>
      </c>
      <c r="L115" s="26" t="s">
        <v>245</v>
      </c>
      <c r="M115" s="26" t="s">
        <v>2592</v>
      </c>
      <c r="N115" s="26" t="s">
        <v>2593</v>
      </c>
      <c r="O115" s="26" t="s">
        <v>2594</v>
      </c>
      <c r="P115" s="26" t="s">
        <v>2595</v>
      </c>
      <c r="Q115" s="26" t="s">
        <v>2596</v>
      </c>
      <c r="R115" s="26">
        <v>439.6733</v>
      </c>
      <c r="S115" s="26" t="s">
        <v>1516</v>
      </c>
      <c r="T115" s="26">
        <v>133.1121</v>
      </c>
      <c r="U115" s="26" t="s">
        <v>217</v>
      </c>
      <c r="V115" s="26" t="s">
        <v>150</v>
      </c>
      <c r="Y115" s="26" t="s">
        <v>2597</v>
      </c>
      <c r="Z115" s="26">
        <v>21.983665</v>
      </c>
      <c r="AA115" s="26">
        <v>0</v>
      </c>
      <c r="AB115" s="26">
        <v>0</v>
      </c>
      <c r="AC115" s="26">
        <v>23</v>
      </c>
      <c r="AD115" s="26" t="s">
        <v>1140</v>
      </c>
      <c r="AE115" s="26" t="s">
        <v>1140</v>
      </c>
      <c r="AF115" s="26" t="s">
        <v>1140</v>
      </c>
      <c r="AG115" s="26" t="s">
        <v>2598</v>
      </c>
      <c r="AI115" s="26" t="s">
        <v>167</v>
      </c>
      <c r="AJ115" s="26" t="s">
        <v>168</v>
      </c>
      <c r="AK115" s="26" t="s">
        <v>169</v>
      </c>
      <c r="AL115" s="26" t="s">
        <v>2599</v>
      </c>
      <c r="AM115" s="26" t="s">
        <v>2600</v>
      </c>
      <c r="AN115" s="26" t="s">
        <v>172</v>
      </c>
      <c r="AO115" s="26" t="s">
        <v>1517</v>
      </c>
      <c r="AP115" s="26" t="s">
        <v>162</v>
      </c>
      <c r="AQ115" s="26" t="s">
        <v>2601</v>
      </c>
      <c r="AR115" s="26" t="s">
        <v>2602</v>
      </c>
      <c r="AS115" s="26" t="s">
        <v>804</v>
      </c>
      <c r="AU115" s="26" t="s">
        <v>2603</v>
      </c>
      <c r="AV115" s="26" t="s">
        <v>2603</v>
      </c>
      <c r="AX115" s="26" t="s">
        <v>2604</v>
      </c>
      <c r="AY115" s="26" t="s">
        <v>179</v>
      </c>
      <c r="BC115" s="26" t="s">
        <v>2591</v>
      </c>
      <c r="BD115" s="26" t="s">
        <v>180</v>
      </c>
      <c r="BE115" s="26" t="s">
        <v>181</v>
      </c>
      <c r="BF115" s="26" t="s">
        <v>167</v>
      </c>
      <c r="BH115" s="26" t="s">
        <v>162</v>
      </c>
      <c r="BI115" s="26" t="s">
        <v>182</v>
      </c>
      <c r="BJ115" s="26" t="s">
        <v>2605</v>
      </c>
      <c r="BK115" s="26" t="s">
        <v>302</v>
      </c>
      <c r="BL115" s="26" t="s">
        <v>185</v>
      </c>
      <c r="BM115" s="26" t="s">
        <v>186</v>
      </c>
      <c r="BN115" s="26" t="s">
        <v>162</v>
      </c>
      <c r="BP115" s="26">
        <v>0</v>
      </c>
      <c r="BR115" s="26" t="s">
        <v>801</v>
      </c>
      <c r="BS115" s="26" t="s">
        <v>354</v>
      </c>
      <c r="BT115" s="26" t="s">
        <v>185</v>
      </c>
      <c r="BV115" s="26">
        <v>22.2656</v>
      </c>
      <c r="BW115" s="26">
        <v>0.16</v>
      </c>
      <c r="BZ115" s="26">
        <v>0</v>
      </c>
      <c r="CA115" s="26" t="s">
        <v>189</v>
      </c>
      <c r="CC115" s="26" t="s">
        <v>162</v>
      </c>
      <c r="CD115" s="26">
        <v>0</v>
      </c>
      <c r="CE115" s="26" t="s">
        <v>190</v>
      </c>
      <c r="CF115" s="26" t="s">
        <v>195</v>
      </c>
      <c r="CG115" s="26" t="s">
        <v>2606</v>
      </c>
      <c r="CI115" s="26" t="s">
        <v>267</v>
      </c>
      <c r="CJ115" s="26">
        <v>139.16</v>
      </c>
      <c r="CK115" s="26">
        <v>0</v>
      </c>
      <c r="CL115" s="26">
        <v>6.96</v>
      </c>
      <c r="CM115" s="26">
        <v>25.12</v>
      </c>
      <c r="CQ115" s="26" t="s">
        <v>233</v>
      </c>
      <c r="CR115" s="26" t="s">
        <v>2607</v>
      </c>
      <c r="CS115" s="26" t="s">
        <v>2608</v>
      </c>
      <c r="CW115" s="26" t="s">
        <v>2609</v>
      </c>
      <c r="CX115" s="26" t="s">
        <v>195</v>
      </c>
      <c r="CY115" s="26" t="s">
        <v>196</v>
      </c>
      <c r="CZ115" s="26">
        <v>0</v>
      </c>
      <c r="DA115" s="26" t="s">
        <v>150</v>
      </c>
      <c r="DB115" s="26">
        <v>0</v>
      </c>
      <c r="DK115" s="26" t="s">
        <v>150</v>
      </c>
      <c r="DL115" s="26" t="s">
        <v>542</v>
      </c>
      <c r="DM115" s="26" t="s">
        <v>2476</v>
      </c>
      <c r="DN115" s="26" t="s">
        <v>2610</v>
      </c>
      <c r="DO115" s="26" t="s">
        <v>2478</v>
      </c>
      <c r="DP115" s="26" t="s">
        <v>2611</v>
      </c>
      <c r="DR115" s="26" t="s">
        <v>189</v>
      </c>
      <c r="DS115" s="26" t="s">
        <v>189</v>
      </c>
      <c r="DT115" s="26" t="s">
        <v>189</v>
      </c>
      <c r="DU115" s="26" t="s">
        <v>189</v>
      </c>
      <c r="DV115" s="26" t="s">
        <v>203</v>
      </c>
      <c r="DW115" s="26" t="s">
        <v>162</v>
      </c>
      <c r="DX115" s="26" t="s">
        <v>162</v>
      </c>
      <c r="DY115" s="26">
        <v>0</v>
      </c>
      <c r="DZ115" s="26" t="s">
        <v>150</v>
      </c>
      <c r="EH115" s="26" t="s">
        <v>189</v>
      </c>
      <c r="EI115" s="26">
        <v>0.16</v>
      </c>
      <c r="EJ115" s="26">
        <v>22.2656</v>
      </c>
      <c r="EK115" s="26">
        <v>25.12</v>
      </c>
      <c r="EL115" s="26" t="s">
        <v>2612</v>
      </c>
      <c r="EM115" s="26" t="s">
        <v>206</v>
      </c>
      <c r="EN115" s="26" t="s">
        <v>207</v>
      </c>
    </row>
    <row r="116" spans="1:144">
      <c r="A116" s="26" t="s">
        <v>145</v>
      </c>
      <c r="B116" s="26" t="s">
        <v>1556</v>
      </c>
      <c r="C116" s="26" t="s">
        <v>2591</v>
      </c>
      <c r="D116" s="26" t="s">
        <v>148</v>
      </c>
      <c r="E116" s="26" t="s">
        <v>149</v>
      </c>
      <c r="F116" s="26" t="s">
        <v>152</v>
      </c>
      <c r="G116" s="26" t="s">
        <v>151</v>
      </c>
      <c r="H116" s="26" t="s">
        <v>152</v>
      </c>
      <c r="I116" s="26" t="s">
        <v>153</v>
      </c>
      <c r="J116" s="26" t="s">
        <v>154</v>
      </c>
      <c r="K116" s="26" t="s">
        <v>244</v>
      </c>
      <c r="L116" s="26" t="s">
        <v>245</v>
      </c>
      <c r="M116" s="26" t="s">
        <v>2592</v>
      </c>
      <c r="O116" s="26" t="s">
        <v>2613</v>
      </c>
      <c r="P116" s="26" t="s">
        <v>2614</v>
      </c>
      <c r="S116" s="26" t="s">
        <v>2615</v>
      </c>
      <c r="T116" s="26">
        <v>164.57496</v>
      </c>
      <c r="U116" s="26" t="s">
        <v>217</v>
      </c>
      <c r="V116" s="26" t="s">
        <v>150</v>
      </c>
      <c r="Y116" s="26" t="s">
        <v>2597</v>
      </c>
      <c r="Z116" s="26">
        <v>21.983665</v>
      </c>
      <c r="AA116" s="26">
        <v>0</v>
      </c>
      <c r="AB116" s="26">
        <v>0</v>
      </c>
      <c r="AC116" s="26">
        <v>33</v>
      </c>
      <c r="AD116" s="26" t="s">
        <v>1284</v>
      </c>
      <c r="AE116" s="26" t="s">
        <v>1284</v>
      </c>
      <c r="AF116" s="26" t="s">
        <v>1284</v>
      </c>
      <c r="AG116" s="26" t="s">
        <v>2616</v>
      </c>
      <c r="AI116" s="26" t="s">
        <v>167</v>
      </c>
      <c r="AJ116" s="26" t="s">
        <v>168</v>
      </c>
      <c r="AK116" s="26" t="s">
        <v>169</v>
      </c>
      <c r="AM116" s="26" t="s">
        <v>2617</v>
      </c>
      <c r="AN116" s="26" t="s">
        <v>172</v>
      </c>
      <c r="AO116" s="26" t="s">
        <v>695</v>
      </c>
      <c r="AP116" s="26" t="s">
        <v>162</v>
      </c>
      <c r="AQ116" s="26" t="s">
        <v>2601</v>
      </c>
      <c r="AR116" s="26" t="s">
        <v>2602</v>
      </c>
      <c r="AS116" s="26" t="s">
        <v>600</v>
      </c>
      <c r="AT116" s="26" t="s">
        <v>691</v>
      </c>
      <c r="AU116" s="26" t="s">
        <v>2603</v>
      </c>
      <c r="AV116" s="26" t="s">
        <v>2603</v>
      </c>
      <c r="AX116" s="26" t="s">
        <v>1482</v>
      </c>
      <c r="AY116" s="26" t="s">
        <v>179</v>
      </c>
      <c r="BC116" s="26" t="s">
        <v>2591</v>
      </c>
      <c r="BD116" s="26" t="s">
        <v>180</v>
      </c>
      <c r="BE116" s="26" t="s">
        <v>181</v>
      </c>
      <c r="BF116" s="26" t="s">
        <v>167</v>
      </c>
      <c r="BH116" s="26" t="s">
        <v>162</v>
      </c>
      <c r="BI116" s="26" t="s">
        <v>182</v>
      </c>
      <c r="BJ116" s="26" t="s">
        <v>2618</v>
      </c>
      <c r="BK116" s="26" t="s">
        <v>302</v>
      </c>
      <c r="BL116" s="26" t="s">
        <v>185</v>
      </c>
      <c r="BM116" s="26" t="s">
        <v>186</v>
      </c>
      <c r="BN116" s="26" t="s">
        <v>162</v>
      </c>
      <c r="BP116" s="26">
        <v>0</v>
      </c>
      <c r="BR116" s="26" t="s">
        <v>695</v>
      </c>
      <c r="BS116" s="26" t="s">
        <v>230</v>
      </c>
      <c r="BT116" s="26" t="s">
        <v>185</v>
      </c>
      <c r="BV116" s="26">
        <v>27.3008</v>
      </c>
      <c r="BW116" s="26">
        <v>0.16</v>
      </c>
      <c r="BZ116" s="26">
        <v>0</v>
      </c>
      <c r="CA116" s="26" t="s">
        <v>189</v>
      </c>
      <c r="CC116" s="26" t="s">
        <v>162</v>
      </c>
      <c r="CD116" s="26">
        <v>0</v>
      </c>
      <c r="CE116" s="26" t="s">
        <v>190</v>
      </c>
      <c r="CF116" s="26" t="s">
        <v>167</v>
      </c>
      <c r="CG116" s="26" t="s">
        <v>2619</v>
      </c>
      <c r="CI116" s="26" t="s">
        <v>267</v>
      </c>
      <c r="CJ116" s="26">
        <v>170.63</v>
      </c>
      <c r="CK116" s="26">
        <v>0</v>
      </c>
      <c r="CL116" s="26">
        <v>8.53</v>
      </c>
      <c r="CM116" s="26">
        <v>29.04</v>
      </c>
      <c r="CQ116" s="26" t="s">
        <v>605</v>
      </c>
      <c r="CR116" s="26" t="s">
        <v>2607</v>
      </c>
      <c r="CS116" s="26" t="s">
        <v>2608</v>
      </c>
      <c r="CW116" s="26" t="s">
        <v>2620</v>
      </c>
      <c r="CX116" s="26" t="s">
        <v>162</v>
      </c>
      <c r="CY116" s="26" t="s">
        <v>196</v>
      </c>
      <c r="CZ116" s="26">
        <v>0</v>
      </c>
      <c r="DA116" s="26" t="s">
        <v>150</v>
      </c>
      <c r="DB116" s="26">
        <v>0</v>
      </c>
      <c r="DK116" s="26" t="s">
        <v>150</v>
      </c>
      <c r="DL116" s="26" t="s">
        <v>542</v>
      </c>
      <c r="DM116" s="26" t="s">
        <v>2476</v>
      </c>
      <c r="DN116" s="26" t="s">
        <v>2610</v>
      </c>
      <c r="DO116" s="26" t="s">
        <v>2478</v>
      </c>
      <c r="DP116" s="26" t="s">
        <v>2611</v>
      </c>
      <c r="DR116" s="26" t="s">
        <v>189</v>
      </c>
      <c r="DS116" s="26" t="s">
        <v>189</v>
      </c>
      <c r="DT116" s="26" t="s">
        <v>189</v>
      </c>
      <c r="DU116" s="26" t="s">
        <v>189</v>
      </c>
      <c r="DV116" s="26" t="s">
        <v>203</v>
      </c>
      <c r="DW116" s="26" t="s">
        <v>162</v>
      </c>
      <c r="DX116" s="26" t="s">
        <v>162</v>
      </c>
      <c r="DY116" s="26">
        <v>0</v>
      </c>
      <c r="DZ116" s="26" t="s">
        <v>150</v>
      </c>
      <c r="EA116" s="26" t="s">
        <v>534</v>
      </c>
      <c r="EB116" s="26" t="s">
        <v>547</v>
      </c>
      <c r="EH116" s="26" t="s">
        <v>189</v>
      </c>
      <c r="EI116" s="26">
        <v>0.16</v>
      </c>
      <c r="EJ116" s="26">
        <v>27.3008</v>
      </c>
      <c r="EK116" s="26">
        <v>29.04</v>
      </c>
      <c r="EL116" s="26" t="s">
        <v>2621</v>
      </c>
      <c r="EM116" s="26" t="s">
        <v>206</v>
      </c>
      <c r="EN116" s="26" t="s">
        <v>207</v>
      </c>
    </row>
    <row r="117" spans="1:144">
      <c r="A117" s="26" t="s">
        <v>145</v>
      </c>
      <c r="B117" s="26" t="s">
        <v>1556</v>
      </c>
      <c r="C117" s="26" t="s">
        <v>2591</v>
      </c>
      <c r="D117" s="26" t="s">
        <v>148</v>
      </c>
      <c r="E117" s="26" t="s">
        <v>149</v>
      </c>
      <c r="F117" s="26" t="s">
        <v>152</v>
      </c>
      <c r="G117" s="26" t="s">
        <v>151</v>
      </c>
      <c r="H117" s="26" t="s">
        <v>152</v>
      </c>
      <c r="I117" s="26" t="s">
        <v>153</v>
      </c>
      <c r="J117" s="26" t="s">
        <v>154</v>
      </c>
      <c r="K117" s="26" t="s">
        <v>244</v>
      </c>
      <c r="L117" s="26" t="s">
        <v>245</v>
      </c>
      <c r="M117" s="26" t="s">
        <v>2592</v>
      </c>
      <c r="O117" s="26" t="s">
        <v>2622</v>
      </c>
      <c r="P117" s="26" t="s">
        <v>2623</v>
      </c>
      <c r="S117" s="26" t="s">
        <v>2624</v>
      </c>
      <c r="T117" s="26">
        <v>123.83459</v>
      </c>
      <c r="U117" s="26" t="s">
        <v>217</v>
      </c>
      <c r="V117" s="26" t="s">
        <v>150</v>
      </c>
      <c r="Y117" s="26" t="s">
        <v>2597</v>
      </c>
      <c r="Z117" s="26">
        <v>21.983665</v>
      </c>
      <c r="AA117" s="26">
        <v>0</v>
      </c>
      <c r="AB117" s="26">
        <v>0</v>
      </c>
      <c r="AC117" s="26">
        <v>24</v>
      </c>
      <c r="AD117" s="26" t="s">
        <v>1057</v>
      </c>
      <c r="AE117" s="26" t="s">
        <v>1057</v>
      </c>
      <c r="AF117" s="26" t="s">
        <v>1057</v>
      </c>
      <c r="AG117" s="26" t="s">
        <v>2625</v>
      </c>
      <c r="AI117" s="26" t="s">
        <v>167</v>
      </c>
      <c r="AJ117" s="26" t="s">
        <v>168</v>
      </c>
      <c r="AK117" s="26" t="s">
        <v>169</v>
      </c>
      <c r="AM117" s="26" t="s">
        <v>2626</v>
      </c>
      <c r="AN117" s="26" t="s">
        <v>172</v>
      </c>
      <c r="AO117" s="26" t="s">
        <v>695</v>
      </c>
      <c r="AP117" s="26" t="s">
        <v>162</v>
      </c>
      <c r="AQ117" s="26" t="s">
        <v>2601</v>
      </c>
      <c r="AR117" s="26" t="s">
        <v>2602</v>
      </c>
      <c r="AS117" s="26" t="s">
        <v>859</v>
      </c>
      <c r="AT117" s="26" t="s">
        <v>691</v>
      </c>
      <c r="AU117" s="26" t="s">
        <v>2603</v>
      </c>
      <c r="AV117" s="26" t="s">
        <v>2603</v>
      </c>
      <c r="AX117" s="26" t="s">
        <v>2627</v>
      </c>
      <c r="AY117" s="26" t="s">
        <v>179</v>
      </c>
      <c r="BC117" s="26" t="s">
        <v>2591</v>
      </c>
      <c r="BD117" s="26" t="s">
        <v>180</v>
      </c>
      <c r="BE117" s="26" t="s">
        <v>181</v>
      </c>
      <c r="BF117" s="26" t="s">
        <v>167</v>
      </c>
      <c r="BH117" s="26" t="s">
        <v>162</v>
      </c>
      <c r="BI117" s="26" t="s">
        <v>182</v>
      </c>
      <c r="BJ117" s="26" t="s">
        <v>2618</v>
      </c>
      <c r="BK117" s="26" t="s">
        <v>302</v>
      </c>
      <c r="BL117" s="26" t="s">
        <v>185</v>
      </c>
      <c r="BM117" s="26" t="s">
        <v>186</v>
      </c>
      <c r="BN117" s="26" t="s">
        <v>162</v>
      </c>
      <c r="BP117" s="26">
        <v>0</v>
      </c>
      <c r="BR117" s="26" t="s">
        <v>695</v>
      </c>
      <c r="BS117" s="26" t="s">
        <v>230</v>
      </c>
      <c r="BT117" s="26" t="s">
        <v>185</v>
      </c>
      <c r="BV117" s="26">
        <v>20.7824</v>
      </c>
      <c r="BW117" s="26">
        <v>0.16</v>
      </c>
      <c r="BZ117" s="26">
        <v>0</v>
      </c>
      <c r="CA117" s="26" t="s">
        <v>189</v>
      </c>
      <c r="CC117" s="26" t="s">
        <v>162</v>
      </c>
      <c r="CD117" s="26">
        <v>0</v>
      </c>
      <c r="CE117" s="26" t="s">
        <v>190</v>
      </c>
      <c r="CF117" s="26" t="s">
        <v>305</v>
      </c>
      <c r="CG117" s="26" t="s">
        <v>2628</v>
      </c>
      <c r="CI117" s="26" t="s">
        <v>267</v>
      </c>
      <c r="CJ117" s="26">
        <v>129.89</v>
      </c>
      <c r="CK117" s="26">
        <v>0</v>
      </c>
      <c r="CL117" s="26">
        <v>6.49</v>
      </c>
      <c r="CM117" s="26">
        <v>31.57</v>
      </c>
      <c r="CQ117" s="26" t="s">
        <v>437</v>
      </c>
      <c r="CR117" s="26" t="s">
        <v>2607</v>
      </c>
      <c r="CS117" s="26" t="s">
        <v>2608</v>
      </c>
      <c r="CW117" s="26" t="s">
        <v>2629</v>
      </c>
      <c r="CX117" s="26" t="s">
        <v>162</v>
      </c>
      <c r="CY117" s="26" t="s">
        <v>196</v>
      </c>
      <c r="CZ117" s="26">
        <v>0</v>
      </c>
      <c r="DA117" s="26" t="s">
        <v>150</v>
      </c>
      <c r="DB117" s="26">
        <v>0</v>
      </c>
      <c r="DK117" s="26" t="s">
        <v>150</v>
      </c>
      <c r="DL117" s="26" t="s">
        <v>542</v>
      </c>
      <c r="DM117" s="26" t="s">
        <v>2476</v>
      </c>
      <c r="DN117" s="26" t="s">
        <v>2610</v>
      </c>
      <c r="DO117" s="26" t="s">
        <v>2478</v>
      </c>
      <c r="DP117" s="26" t="s">
        <v>2611</v>
      </c>
      <c r="DR117" s="26" t="s">
        <v>189</v>
      </c>
      <c r="DS117" s="26" t="s">
        <v>189</v>
      </c>
      <c r="DT117" s="26" t="s">
        <v>189</v>
      </c>
      <c r="DU117" s="26" t="s">
        <v>189</v>
      </c>
      <c r="DV117" s="26" t="s">
        <v>203</v>
      </c>
      <c r="DW117" s="26" t="s">
        <v>162</v>
      </c>
      <c r="DX117" s="26" t="s">
        <v>162</v>
      </c>
      <c r="DY117" s="26">
        <v>0</v>
      </c>
      <c r="DZ117" s="26" t="s">
        <v>150</v>
      </c>
      <c r="EA117" s="26" t="s">
        <v>534</v>
      </c>
      <c r="EB117" s="26" t="s">
        <v>547</v>
      </c>
      <c r="EH117" s="26" t="s">
        <v>189</v>
      </c>
      <c r="EI117" s="26">
        <v>0.16</v>
      </c>
      <c r="EJ117" s="26">
        <v>20.7824</v>
      </c>
      <c r="EK117" s="26">
        <v>31.57</v>
      </c>
      <c r="EL117" s="26" t="s">
        <v>2630</v>
      </c>
      <c r="EM117" s="26" t="s">
        <v>206</v>
      </c>
      <c r="EN117" s="26" t="s">
        <v>207</v>
      </c>
    </row>
    <row r="118" spans="1:144">
      <c r="A118" s="26" t="s">
        <v>145</v>
      </c>
      <c r="B118" s="26" t="s">
        <v>1556</v>
      </c>
      <c r="C118" s="26" t="s">
        <v>2631</v>
      </c>
      <c r="D118" s="26" t="s">
        <v>148</v>
      </c>
      <c r="E118" s="26" t="s">
        <v>149</v>
      </c>
      <c r="F118" s="26" t="s">
        <v>152</v>
      </c>
      <c r="G118" s="26" t="s">
        <v>151</v>
      </c>
      <c r="H118" s="26" t="s">
        <v>152</v>
      </c>
      <c r="I118" s="26" t="s">
        <v>153</v>
      </c>
      <c r="J118" s="26" t="s">
        <v>154</v>
      </c>
      <c r="K118" s="26" t="s">
        <v>1075</v>
      </c>
      <c r="L118" s="26" t="s">
        <v>1884</v>
      </c>
      <c r="M118" s="26" t="s">
        <v>2632</v>
      </c>
      <c r="N118" s="26" t="s">
        <v>2633</v>
      </c>
      <c r="O118" s="26" t="s">
        <v>2634</v>
      </c>
      <c r="P118" s="26" t="s">
        <v>2635</v>
      </c>
      <c r="Q118" s="26" t="s">
        <v>2636</v>
      </c>
      <c r="R118" s="26">
        <v>83.09422</v>
      </c>
      <c r="S118" s="26" t="s">
        <v>2637</v>
      </c>
      <c r="T118" s="26">
        <v>77.04367</v>
      </c>
      <c r="U118" s="26" t="s">
        <v>217</v>
      </c>
      <c r="V118" s="26" t="s">
        <v>150</v>
      </c>
      <c r="Y118" s="26" t="s">
        <v>2638</v>
      </c>
      <c r="Z118" s="26">
        <v>12.464133</v>
      </c>
      <c r="AA118" s="26">
        <v>0</v>
      </c>
      <c r="AB118" s="26">
        <v>0</v>
      </c>
      <c r="AC118" s="26">
        <v>6.99</v>
      </c>
      <c r="AD118" s="26" t="s">
        <v>2639</v>
      </c>
      <c r="AE118" s="26" t="s">
        <v>2639</v>
      </c>
      <c r="AF118" s="26" t="s">
        <v>2639</v>
      </c>
      <c r="AG118" s="26" t="s">
        <v>2640</v>
      </c>
      <c r="AI118" s="26" t="s">
        <v>167</v>
      </c>
      <c r="AJ118" s="26" t="s">
        <v>168</v>
      </c>
      <c r="AK118" s="26" t="s">
        <v>169</v>
      </c>
      <c r="AL118" s="26" t="s">
        <v>2641</v>
      </c>
      <c r="AM118" s="26" t="s">
        <v>2641</v>
      </c>
      <c r="AN118" s="26" t="s">
        <v>172</v>
      </c>
      <c r="AO118" s="26" t="s">
        <v>1895</v>
      </c>
      <c r="AP118" s="26" t="s">
        <v>162</v>
      </c>
      <c r="AQ118" s="26" t="s">
        <v>2642</v>
      </c>
      <c r="AR118" s="26" t="s">
        <v>2643</v>
      </c>
      <c r="AS118" s="26" t="s">
        <v>662</v>
      </c>
      <c r="AU118" s="26" t="s">
        <v>2644</v>
      </c>
      <c r="AV118" s="26" t="s">
        <v>2644</v>
      </c>
      <c r="AX118" s="26" t="s">
        <v>2645</v>
      </c>
      <c r="AY118" s="26" t="s">
        <v>179</v>
      </c>
      <c r="BC118" s="26" t="s">
        <v>2631</v>
      </c>
      <c r="BD118" s="26" t="s">
        <v>180</v>
      </c>
      <c r="BE118" s="26" t="s">
        <v>181</v>
      </c>
      <c r="BF118" s="26" t="s">
        <v>167</v>
      </c>
      <c r="BH118" s="26" t="s">
        <v>162</v>
      </c>
      <c r="BI118" s="26" t="s">
        <v>182</v>
      </c>
      <c r="BJ118" s="26" t="s">
        <v>2534</v>
      </c>
      <c r="BK118" s="26" t="s">
        <v>184</v>
      </c>
      <c r="BL118" s="26" t="s">
        <v>185</v>
      </c>
      <c r="BM118" s="26" t="s">
        <v>186</v>
      </c>
      <c r="BN118" s="26" t="s">
        <v>162</v>
      </c>
      <c r="BP118" s="26">
        <v>0</v>
      </c>
      <c r="BQ118" s="26" t="s">
        <v>776</v>
      </c>
      <c r="BS118" s="26" t="s">
        <v>354</v>
      </c>
      <c r="BT118" s="26" t="s">
        <v>185</v>
      </c>
      <c r="BV118" s="26">
        <v>11.6326</v>
      </c>
      <c r="BW118" s="26">
        <v>0.14</v>
      </c>
      <c r="BZ118" s="26">
        <v>0</v>
      </c>
      <c r="CA118" s="26" t="s">
        <v>189</v>
      </c>
      <c r="CC118" s="26" t="s">
        <v>162</v>
      </c>
      <c r="CD118" s="26">
        <v>0</v>
      </c>
      <c r="CE118" s="26" t="s">
        <v>190</v>
      </c>
      <c r="CF118" s="26" t="s">
        <v>167</v>
      </c>
      <c r="CG118" s="26" t="s">
        <v>2646</v>
      </c>
      <c r="CI118" s="26" t="s">
        <v>1095</v>
      </c>
      <c r="CJ118" s="26">
        <v>83.09</v>
      </c>
      <c r="CK118" s="26">
        <v>0</v>
      </c>
      <c r="CL118" s="26">
        <v>4.15</v>
      </c>
      <c r="CM118" s="26">
        <v>21.85</v>
      </c>
      <c r="CQ118" s="26" t="s">
        <v>605</v>
      </c>
      <c r="CR118" s="26" t="s">
        <v>2647</v>
      </c>
      <c r="CS118" s="26" t="s">
        <v>2648</v>
      </c>
      <c r="CW118" s="26" t="s">
        <v>2649</v>
      </c>
      <c r="CX118" s="26" t="s">
        <v>162</v>
      </c>
      <c r="CY118" s="26" t="s">
        <v>196</v>
      </c>
      <c r="CZ118" s="26">
        <v>0</v>
      </c>
      <c r="DB118" s="26">
        <v>0</v>
      </c>
      <c r="DK118" s="26" t="s">
        <v>150</v>
      </c>
      <c r="DL118" s="26" t="s">
        <v>581</v>
      </c>
      <c r="DM118" s="26" t="s">
        <v>2476</v>
      </c>
      <c r="DN118" s="26" t="s">
        <v>2650</v>
      </c>
      <c r="DO118" s="26" t="s">
        <v>2478</v>
      </c>
      <c r="DP118" s="26" t="s">
        <v>2651</v>
      </c>
      <c r="DR118" s="26" t="s">
        <v>189</v>
      </c>
      <c r="DS118" s="26" t="s">
        <v>189</v>
      </c>
      <c r="DT118" s="26" t="s">
        <v>189</v>
      </c>
      <c r="DU118" s="26" t="s">
        <v>189</v>
      </c>
      <c r="DV118" s="26" t="s">
        <v>203</v>
      </c>
      <c r="DW118" s="26" t="s">
        <v>162</v>
      </c>
      <c r="DX118" s="26" t="s">
        <v>162</v>
      </c>
      <c r="DY118" s="26">
        <v>0</v>
      </c>
      <c r="DZ118" s="26" t="s">
        <v>150</v>
      </c>
      <c r="EH118" s="26" t="s">
        <v>189</v>
      </c>
      <c r="EI118" s="26">
        <v>0.14</v>
      </c>
      <c r="EJ118" s="26">
        <v>11.6326</v>
      </c>
      <c r="EK118" s="26">
        <v>21.85</v>
      </c>
      <c r="EL118" s="26" t="s">
        <v>2652</v>
      </c>
      <c r="EM118" s="26" t="s">
        <v>206</v>
      </c>
      <c r="EN118" s="26" t="s">
        <v>207</v>
      </c>
    </row>
    <row r="119" spans="1:144">
      <c r="A119" s="26" t="s">
        <v>145</v>
      </c>
      <c r="B119" s="26" t="s">
        <v>1556</v>
      </c>
      <c r="C119" s="26" t="s">
        <v>2653</v>
      </c>
      <c r="D119" s="26" t="s">
        <v>148</v>
      </c>
      <c r="E119" s="26" t="s">
        <v>149</v>
      </c>
      <c r="F119" s="26" t="s">
        <v>152</v>
      </c>
      <c r="G119" s="26" t="s">
        <v>151</v>
      </c>
      <c r="H119" s="26" t="s">
        <v>152</v>
      </c>
      <c r="I119" s="26" t="s">
        <v>153</v>
      </c>
      <c r="J119" s="26" t="s">
        <v>154</v>
      </c>
      <c r="K119" s="26" t="s">
        <v>1075</v>
      </c>
      <c r="L119" s="26" t="s">
        <v>1076</v>
      </c>
      <c r="M119" s="26" t="s">
        <v>2654</v>
      </c>
      <c r="N119" s="26" t="s">
        <v>2655</v>
      </c>
      <c r="O119" s="26" t="s">
        <v>2656</v>
      </c>
      <c r="P119" s="26" t="s">
        <v>2657</v>
      </c>
      <c r="Q119" s="26" t="s">
        <v>833</v>
      </c>
      <c r="R119" s="26">
        <v>171.43225</v>
      </c>
      <c r="S119" s="26" t="s">
        <v>2658</v>
      </c>
      <c r="T119" s="26">
        <v>84.7077</v>
      </c>
      <c r="U119" s="26" t="s">
        <v>217</v>
      </c>
      <c r="V119" s="26" t="s">
        <v>150</v>
      </c>
      <c r="Y119" s="26" t="s">
        <v>2659</v>
      </c>
      <c r="Z119" s="26">
        <v>12.8594356</v>
      </c>
      <c r="AA119" s="26">
        <v>0</v>
      </c>
      <c r="AB119" s="26">
        <v>0</v>
      </c>
      <c r="AC119" s="26">
        <v>16</v>
      </c>
      <c r="AD119" s="26" t="s">
        <v>2660</v>
      </c>
      <c r="AE119" s="26" t="s">
        <v>2660</v>
      </c>
      <c r="AF119" s="26" t="s">
        <v>2660</v>
      </c>
      <c r="AG119" s="26" t="s">
        <v>2661</v>
      </c>
      <c r="AI119" s="26" t="s">
        <v>167</v>
      </c>
      <c r="AJ119" s="26" t="s">
        <v>168</v>
      </c>
      <c r="AK119" s="26" t="s">
        <v>169</v>
      </c>
      <c r="AL119" s="26" t="s">
        <v>1334</v>
      </c>
      <c r="AM119" s="26" t="s">
        <v>1360</v>
      </c>
      <c r="AN119" s="26" t="s">
        <v>172</v>
      </c>
      <c r="AO119" s="26" t="s">
        <v>2662</v>
      </c>
      <c r="AP119" s="26" t="s">
        <v>167</v>
      </c>
      <c r="AQ119" s="26" t="s">
        <v>2663</v>
      </c>
      <c r="AR119" s="26" t="s">
        <v>2664</v>
      </c>
      <c r="AS119" s="26" t="s">
        <v>751</v>
      </c>
      <c r="AU119" s="26" t="s">
        <v>2665</v>
      </c>
      <c r="AV119" s="26" t="s">
        <v>2665</v>
      </c>
      <c r="AX119" s="26" t="s">
        <v>2666</v>
      </c>
      <c r="AY119" s="26" t="s">
        <v>179</v>
      </c>
      <c r="BC119" s="26" t="s">
        <v>2653</v>
      </c>
      <c r="BD119" s="26" t="s">
        <v>180</v>
      </c>
      <c r="BE119" s="26" t="s">
        <v>181</v>
      </c>
      <c r="BF119" s="26" t="s">
        <v>195</v>
      </c>
      <c r="BH119" s="26" t="s">
        <v>2667</v>
      </c>
      <c r="BI119" s="26" t="s">
        <v>182</v>
      </c>
      <c r="BJ119" s="26" t="s">
        <v>507</v>
      </c>
      <c r="BK119" s="26" t="s">
        <v>264</v>
      </c>
      <c r="BL119" s="26" t="s">
        <v>185</v>
      </c>
      <c r="BM119" s="26" t="s">
        <v>186</v>
      </c>
      <c r="BN119" s="26" t="s">
        <v>162</v>
      </c>
      <c r="BP119" s="26">
        <v>0</v>
      </c>
      <c r="BQ119" s="26" t="s">
        <v>2094</v>
      </c>
      <c r="BS119" s="26" t="s">
        <v>230</v>
      </c>
      <c r="BT119" s="26" t="s">
        <v>185</v>
      </c>
      <c r="BV119" s="26">
        <v>12.7064</v>
      </c>
      <c r="BW119" s="26">
        <v>0.14</v>
      </c>
      <c r="BZ119" s="26">
        <v>0</v>
      </c>
      <c r="CA119" s="26" t="s">
        <v>189</v>
      </c>
      <c r="CC119" s="26" t="s">
        <v>162</v>
      </c>
      <c r="CD119" s="26">
        <v>0</v>
      </c>
      <c r="CE119" s="26" t="s">
        <v>190</v>
      </c>
      <c r="CF119" s="26" t="s">
        <v>167</v>
      </c>
      <c r="CG119" s="26" t="s">
        <v>2668</v>
      </c>
      <c r="CI119" s="26" t="s">
        <v>1095</v>
      </c>
      <c r="CJ119" s="26">
        <v>90.76</v>
      </c>
      <c r="CK119" s="26">
        <v>0</v>
      </c>
      <c r="CL119" s="26">
        <v>4.54</v>
      </c>
      <c r="CM119" s="26">
        <v>31.42</v>
      </c>
      <c r="CQ119" s="26" t="s">
        <v>605</v>
      </c>
      <c r="CR119" s="26" t="s">
        <v>2669</v>
      </c>
      <c r="CS119" s="26" t="s">
        <v>2670</v>
      </c>
      <c r="CW119" s="26" t="s">
        <v>2671</v>
      </c>
      <c r="CX119" s="26" t="s">
        <v>162</v>
      </c>
      <c r="CY119" s="26" t="s">
        <v>196</v>
      </c>
      <c r="CZ119" s="26">
        <v>0</v>
      </c>
      <c r="DB119" s="26">
        <v>0</v>
      </c>
      <c r="DK119" s="26" t="s">
        <v>150</v>
      </c>
      <c r="DL119" s="26" t="s">
        <v>1706</v>
      </c>
      <c r="DM119" s="26" t="s">
        <v>2476</v>
      </c>
      <c r="DN119" s="26" t="s">
        <v>2672</v>
      </c>
      <c r="DO119" s="26" t="s">
        <v>2478</v>
      </c>
      <c r="DR119" s="26" t="s">
        <v>189</v>
      </c>
      <c r="DS119" s="26" t="s">
        <v>189</v>
      </c>
      <c r="DT119" s="26" t="s">
        <v>189</v>
      </c>
      <c r="DU119" s="26" t="s">
        <v>189</v>
      </c>
      <c r="DV119" s="26" t="s">
        <v>203</v>
      </c>
      <c r="DW119" s="26" t="s">
        <v>162</v>
      </c>
      <c r="DX119" s="26" t="s">
        <v>162</v>
      </c>
      <c r="DY119" s="26">
        <v>0</v>
      </c>
      <c r="DZ119" s="26" t="s">
        <v>150</v>
      </c>
      <c r="EH119" s="26" t="s">
        <v>189</v>
      </c>
      <c r="EI119" s="26">
        <v>0.14</v>
      </c>
      <c r="EJ119" s="26">
        <v>12.7064</v>
      </c>
      <c r="EK119" s="26">
        <v>31.42</v>
      </c>
      <c r="EL119" s="26" t="s">
        <v>2673</v>
      </c>
      <c r="EM119" s="26" t="s">
        <v>206</v>
      </c>
      <c r="EN119" s="26" t="s">
        <v>207</v>
      </c>
    </row>
    <row r="120" spans="1:144">
      <c r="A120" s="26" t="s">
        <v>145</v>
      </c>
      <c r="B120" s="26" t="s">
        <v>1556</v>
      </c>
      <c r="C120" s="26" t="s">
        <v>2653</v>
      </c>
      <c r="D120" s="26" t="s">
        <v>148</v>
      </c>
      <c r="E120" s="26" t="s">
        <v>149</v>
      </c>
      <c r="F120" s="26" t="s">
        <v>152</v>
      </c>
      <c r="G120" s="26" t="s">
        <v>151</v>
      </c>
      <c r="H120" s="26" t="s">
        <v>152</v>
      </c>
      <c r="I120" s="26" t="s">
        <v>153</v>
      </c>
      <c r="J120" s="26" t="s">
        <v>154</v>
      </c>
      <c r="K120" s="26" t="s">
        <v>1075</v>
      </c>
      <c r="L120" s="26" t="s">
        <v>1076</v>
      </c>
      <c r="M120" s="26" t="s">
        <v>2654</v>
      </c>
      <c r="O120" s="26" t="s">
        <v>2674</v>
      </c>
      <c r="P120" s="26" t="s">
        <v>2675</v>
      </c>
      <c r="S120" s="26" t="s">
        <v>2219</v>
      </c>
      <c r="T120" s="26">
        <v>74.62345</v>
      </c>
      <c r="U120" s="26" t="s">
        <v>217</v>
      </c>
      <c r="V120" s="26" t="s">
        <v>150</v>
      </c>
      <c r="Y120" s="26" t="s">
        <v>2659</v>
      </c>
      <c r="Z120" s="26">
        <v>12.8594356</v>
      </c>
      <c r="AA120" s="26">
        <v>0</v>
      </c>
      <c r="AB120" s="26">
        <v>0</v>
      </c>
      <c r="AC120" s="26">
        <v>15.5</v>
      </c>
      <c r="AD120" s="26" t="s">
        <v>1211</v>
      </c>
      <c r="AE120" s="26" t="s">
        <v>1211</v>
      </c>
      <c r="AF120" s="26" t="s">
        <v>1211</v>
      </c>
      <c r="AG120" s="26" t="s">
        <v>2676</v>
      </c>
      <c r="AI120" s="26" t="s">
        <v>167</v>
      </c>
      <c r="AJ120" s="26" t="s">
        <v>168</v>
      </c>
      <c r="AK120" s="26" t="s">
        <v>169</v>
      </c>
      <c r="AM120" s="26" t="s">
        <v>912</v>
      </c>
      <c r="AN120" s="26" t="s">
        <v>172</v>
      </c>
      <c r="AO120" s="26" t="s">
        <v>173</v>
      </c>
      <c r="AP120" s="26" t="s">
        <v>167</v>
      </c>
      <c r="AQ120" s="26" t="s">
        <v>2663</v>
      </c>
      <c r="AR120" s="26" t="s">
        <v>2664</v>
      </c>
      <c r="AS120" s="26" t="s">
        <v>1343</v>
      </c>
      <c r="AT120" s="26" t="s">
        <v>176</v>
      </c>
      <c r="AU120" s="26" t="s">
        <v>2665</v>
      </c>
      <c r="AV120" s="26" t="s">
        <v>2665</v>
      </c>
      <c r="AX120" s="26" t="s">
        <v>2677</v>
      </c>
      <c r="AY120" s="26" t="s">
        <v>179</v>
      </c>
      <c r="BC120" s="26" t="s">
        <v>2653</v>
      </c>
      <c r="BD120" s="26" t="s">
        <v>180</v>
      </c>
      <c r="BE120" s="26" t="s">
        <v>1007</v>
      </c>
      <c r="BF120" s="26" t="s">
        <v>195</v>
      </c>
      <c r="BH120" s="26" t="s">
        <v>2667</v>
      </c>
      <c r="BI120" s="26" t="s">
        <v>182</v>
      </c>
      <c r="BJ120" s="26" t="s">
        <v>1864</v>
      </c>
      <c r="BK120" s="26" t="s">
        <v>264</v>
      </c>
      <c r="BL120" s="26" t="s">
        <v>185</v>
      </c>
      <c r="BM120" s="26" t="s">
        <v>186</v>
      </c>
      <c r="BN120" s="26" t="s">
        <v>162</v>
      </c>
      <c r="BP120" s="26">
        <v>0</v>
      </c>
      <c r="BQ120" s="26" t="s">
        <v>187</v>
      </c>
      <c r="BS120" s="26" t="s">
        <v>188</v>
      </c>
      <c r="BT120" s="26" t="s">
        <v>185</v>
      </c>
      <c r="BV120" s="26">
        <v>11.2938</v>
      </c>
      <c r="BW120" s="26">
        <v>0.14</v>
      </c>
      <c r="BZ120" s="26">
        <v>0</v>
      </c>
      <c r="CA120" s="26" t="s">
        <v>189</v>
      </c>
      <c r="CC120" s="26" t="s">
        <v>162</v>
      </c>
      <c r="CD120" s="26">
        <v>0</v>
      </c>
      <c r="CE120" s="26" t="s">
        <v>190</v>
      </c>
      <c r="CF120" s="26" t="s">
        <v>195</v>
      </c>
      <c r="CG120" s="26" t="s">
        <v>2678</v>
      </c>
      <c r="CI120" s="26" t="s">
        <v>1095</v>
      </c>
      <c r="CJ120" s="26">
        <v>80.67</v>
      </c>
      <c r="CK120" s="26">
        <v>0</v>
      </c>
      <c r="CL120" s="26">
        <v>4.03</v>
      </c>
      <c r="CM120" s="26">
        <v>17.54</v>
      </c>
      <c r="CQ120" s="26" t="s">
        <v>437</v>
      </c>
      <c r="CR120" s="26" t="s">
        <v>2669</v>
      </c>
      <c r="CS120" s="26" t="s">
        <v>2670</v>
      </c>
      <c r="CW120" s="26" t="s">
        <v>2679</v>
      </c>
      <c r="CX120" s="26" t="s">
        <v>305</v>
      </c>
      <c r="CY120" s="26" t="s">
        <v>196</v>
      </c>
      <c r="CZ120" s="26">
        <v>0</v>
      </c>
      <c r="DB120" s="26">
        <v>0</v>
      </c>
      <c r="DK120" s="26" t="s">
        <v>150</v>
      </c>
      <c r="DL120" s="26" t="s">
        <v>1706</v>
      </c>
      <c r="DM120" s="26" t="s">
        <v>2476</v>
      </c>
      <c r="DN120" s="26" t="s">
        <v>2672</v>
      </c>
      <c r="DO120" s="26" t="s">
        <v>2478</v>
      </c>
      <c r="DR120" s="26" t="s">
        <v>189</v>
      </c>
      <c r="DS120" s="26" t="s">
        <v>189</v>
      </c>
      <c r="DT120" s="26" t="s">
        <v>189</v>
      </c>
      <c r="DU120" s="26" t="s">
        <v>189</v>
      </c>
      <c r="DV120" s="26" t="s">
        <v>203</v>
      </c>
      <c r="DW120" s="26" t="s">
        <v>162</v>
      </c>
      <c r="DX120" s="26" t="s">
        <v>162</v>
      </c>
      <c r="DY120" s="26">
        <v>0</v>
      </c>
      <c r="DZ120" s="26" t="s">
        <v>150</v>
      </c>
      <c r="EA120" s="26" t="s">
        <v>204</v>
      </c>
      <c r="EB120" s="26" t="s">
        <v>205</v>
      </c>
      <c r="EH120" s="26" t="s">
        <v>189</v>
      </c>
      <c r="EI120" s="26">
        <v>0.14</v>
      </c>
      <c r="EJ120" s="26">
        <v>11.2938</v>
      </c>
      <c r="EK120" s="26">
        <v>17.54</v>
      </c>
      <c r="EL120" s="26" t="s">
        <v>2680</v>
      </c>
      <c r="EM120" s="26" t="s">
        <v>206</v>
      </c>
      <c r="EN120" s="26" t="s">
        <v>207</v>
      </c>
    </row>
    <row r="121" spans="1:144">
      <c r="A121" s="26" t="s">
        <v>145</v>
      </c>
      <c r="B121" s="26" t="s">
        <v>1556</v>
      </c>
      <c r="C121" s="26" t="s">
        <v>2681</v>
      </c>
      <c r="D121" s="26" t="s">
        <v>148</v>
      </c>
      <c r="E121" s="26" t="s">
        <v>149</v>
      </c>
      <c r="F121" s="26" t="s">
        <v>152</v>
      </c>
      <c r="G121" s="26" t="s">
        <v>151</v>
      </c>
      <c r="H121" s="26" t="s">
        <v>152</v>
      </c>
      <c r="I121" s="26" t="s">
        <v>153</v>
      </c>
      <c r="J121" s="26" t="s">
        <v>154</v>
      </c>
      <c r="K121" s="26" t="s">
        <v>244</v>
      </c>
      <c r="L121" s="26" t="s">
        <v>2402</v>
      </c>
      <c r="M121" s="26" t="s">
        <v>2682</v>
      </c>
      <c r="N121" s="26" t="s">
        <v>2683</v>
      </c>
      <c r="O121" s="26" t="s">
        <v>2684</v>
      </c>
      <c r="P121" s="26" t="s">
        <v>2685</v>
      </c>
      <c r="Q121" s="26" t="s">
        <v>2686</v>
      </c>
      <c r="R121" s="26">
        <v>357.78919</v>
      </c>
      <c r="S121" s="26" t="s">
        <v>2687</v>
      </c>
      <c r="T121" s="26">
        <v>351.73864</v>
      </c>
      <c r="U121" s="26" t="s">
        <v>217</v>
      </c>
      <c r="V121" s="26" t="s">
        <v>150</v>
      </c>
      <c r="Y121" s="26" t="s">
        <v>2688</v>
      </c>
      <c r="Z121" s="26">
        <v>53.6683785</v>
      </c>
      <c r="AA121" s="26">
        <v>0</v>
      </c>
      <c r="AB121" s="26">
        <v>0</v>
      </c>
      <c r="AC121" s="26">
        <v>75</v>
      </c>
      <c r="AD121" s="26" t="s">
        <v>1047</v>
      </c>
      <c r="AE121" s="26" t="s">
        <v>1047</v>
      </c>
      <c r="AF121" s="26" t="s">
        <v>1047</v>
      </c>
      <c r="AG121" s="26" t="s">
        <v>2689</v>
      </c>
      <c r="AI121" s="26" t="s">
        <v>167</v>
      </c>
      <c r="AJ121" s="26" t="s">
        <v>797</v>
      </c>
      <c r="AK121" s="26" t="s">
        <v>798</v>
      </c>
      <c r="AL121" s="26" t="s">
        <v>2690</v>
      </c>
      <c r="AM121" s="26" t="s">
        <v>2691</v>
      </c>
      <c r="AN121" s="26" t="s">
        <v>172</v>
      </c>
      <c r="AO121" s="26" t="s">
        <v>2412</v>
      </c>
      <c r="AP121" s="26" t="s">
        <v>167</v>
      </c>
      <c r="AQ121" s="26" t="s">
        <v>2692</v>
      </c>
      <c r="AR121" s="26" t="s">
        <v>2693</v>
      </c>
      <c r="AS121" s="26" t="s">
        <v>909</v>
      </c>
      <c r="AU121" s="26" t="s">
        <v>2694</v>
      </c>
      <c r="AV121" s="26" t="s">
        <v>150</v>
      </c>
      <c r="AX121" s="26" t="s">
        <v>2695</v>
      </c>
      <c r="AY121" s="26" t="s">
        <v>179</v>
      </c>
      <c r="BC121" s="26" t="s">
        <v>2681</v>
      </c>
      <c r="BD121" s="26" t="s">
        <v>180</v>
      </c>
      <c r="BE121" s="26" t="s">
        <v>181</v>
      </c>
      <c r="BF121" s="26" t="s">
        <v>167</v>
      </c>
      <c r="BH121" s="26" t="s">
        <v>162</v>
      </c>
      <c r="BI121" s="26" t="s">
        <v>807</v>
      </c>
      <c r="BJ121" s="26" t="s">
        <v>1676</v>
      </c>
      <c r="BK121" s="26" t="s">
        <v>184</v>
      </c>
      <c r="BL121" s="26" t="s">
        <v>185</v>
      </c>
      <c r="BM121" s="26" t="s">
        <v>186</v>
      </c>
      <c r="BN121" s="26" t="s">
        <v>162</v>
      </c>
      <c r="BP121" s="26">
        <v>0</v>
      </c>
      <c r="BQ121" s="26" t="s">
        <v>1504</v>
      </c>
      <c r="BS121" s="26" t="s">
        <v>188</v>
      </c>
      <c r="BT121" s="26" t="s">
        <v>185</v>
      </c>
      <c r="BV121" s="26">
        <v>57.2464</v>
      </c>
      <c r="BW121" s="26">
        <v>0.16</v>
      </c>
      <c r="BZ121" s="26">
        <v>0</v>
      </c>
      <c r="CA121" s="26" t="s">
        <v>189</v>
      </c>
      <c r="CC121" s="26" t="s">
        <v>162</v>
      </c>
      <c r="CD121" s="26">
        <v>0</v>
      </c>
      <c r="CE121" s="26" t="s">
        <v>190</v>
      </c>
      <c r="CF121" s="26" t="s">
        <v>167</v>
      </c>
      <c r="CG121" s="26" t="s">
        <v>2696</v>
      </c>
      <c r="CI121" s="26" t="s">
        <v>267</v>
      </c>
      <c r="CJ121" s="26">
        <v>357.79</v>
      </c>
      <c r="CK121" s="26">
        <v>0</v>
      </c>
      <c r="CL121" s="26">
        <v>17.89</v>
      </c>
      <c r="CM121" s="26">
        <v>54.16</v>
      </c>
      <c r="CQ121" s="26" t="s">
        <v>605</v>
      </c>
      <c r="CR121" s="26" t="s">
        <v>2697</v>
      </c>
      <c r="CS121" s="26" t="s">
        <v>2698</v>
      </c>
      <c r="CW121" s="26" t="s">
        <v>2699</v>
      </c>
      <c r="CX121" s="26" t="s">
        <v>162</v>
      </c>
      <c r="CY121" s="26" t="s">
        <v>196</v>
      </c>
      <c r="CZ121" s="26">
        <v>0</v>
      </c>
      <c r="DB121" s="26">
        <v>0</v>
      </c>
      <c r="DK121" s="26" t="s">
        <v>150</v>
      </c>
      <c r="DL121" s="26" t="s">
        <v>581</v>
      </c>
      <c r="DM121" s="26" t="s">
        <v>2700</v>
      </c>
      <c r="DN121" s="26" t="s">
        <v>2701</v>
      </c>
      <c r="DO121" s="26" t="s">
        <v>2702</v>
      </c>
      <c r="DP121" s="26" t="s">
        <v>2703</v>
      </c>
      <c r="DR121" s="26" t="s">
        <v>189</v>
      </c>
      <c r="DS121" s="26" t="s">
        <v>189</v>
      </c>
      <c r="DT121" s="26" t="s">
        <v>189</v>
      </c>
      <c r="DU121" s="26" t="s">
        <v>189</v>
      </c>
      <c r="DV121" s="26" t="s">
        <v>203</v>
      </c>
      <c r="DW121" s="26" t="s">
        <v>162</v>
      </c>
      <c r="DX121" s="26" t="s">
        <v>162</v>
      </c>
      <c r="DY121" s="26">
        <v>0</v>
      </c>
      <c r="DZ121" s="26" t="s">
        <v>150</v>
      </c>
      <c r="EH121" s="26" t="s">
        <v>189</v>
      </c>
      <c r="EI121" s="26">
        <v>0.16</v>
      </c>
      <c r="EJ121" s="26">
        <v>57.2464</v>
      </c>
      <c r="EK121" s="26">
        <v>54.16</v>
      </c>
      <c r="EL121" s="26" t="s">
        <v>2704</v>
      </c>
      <c r="EM121" s="26" t="s">
        <v>206</v>
      </c>
      <c r="EN121" s="26" t="s">
        <v>207</v>
      </c>
    </row>
    <row r="122" spans="1:144">
      <c r="A122" s="26" t="s">
        <v>145</v>
      </c>
      <c r="B122" s="26" t="s">
        <v>1556</v>
      </c>
      <c r="C122" s="26" t="s">
        <v>2705</v>
      </c>
      <c r="D122" s="26" t="s">
        <v>148</v>
      </c>
      <c r="E122" s="26" t="s">
        <v>149</v>
      </c>
      <c r="F122" s="26" t="s">
        <v>152</v>
      </c>
      <c r="G122" s="26" t="s">
        <v>151</v>
      </c>
      <c r="H122" s="26" t="s">
        <v>152</v>
      </c>
      <c r="I122" s="26" t="s">
        <v>153</v>
      </c>
      <c r="J122" s="26" t="s">
        <v>154</v>
      </c>
      <c r="K122" s="26" t="s">
        <v>2343</v>
      </c>
      <c r="L122" s="26" t="s">
        <v>2706</v>
      </c>
      <c r="M122" s="26" t="s">
        <v>2707</v>
      </c>
      <c r="N122" s="26" t="s">
        <v>2708</v>
      </c>
      <c r="O122" s="26" t="s">
        <v>2709</v>
      </c>
      <c r="P122" s="26" t="s">
        <v>2710</v>
      </c>
      <c r="Q122" s="26" t="s">
        <v>771</v>
      </c>
      <c r="R122" s="26">
        <v>135.12895</v>
      </c>
      <c r="S122" s="26" t="s">
        <v>407</v>
      </c>
      <c r="T122" s="26">
        <v>129.0784</v>
      </c>
      <c r="U122" s="26" t="s">
        <v>217</v>
      </c>
      <c r="V122" s="26" t="s">
        <v>150</v>
      </c>
      <c r="Y122" s="26" t="s">
        <v>2711</v>
      </c>
      <c r="Z122" s="26">
        <v>20.2693425</v>
      </c>
      <c r="AA122" s="26">
        <v>0</v>
      </c>
      <c r="AB122" s="26">
        <v>0</v>
      </c>
      <c r="AC122" s="26">
        <v>28</v>
      </c>
      <c r="AD122" s="26" t="s">
        <v>1480</v>
      </c>
      <c r="AE122" s="26" t="s">
        <v>1480</v>
      </c>
      <c r="AF122" s="26" t="s">
        <v>1480</v>
      </c>
      <c r="AG122" s="26" t="s">
        <v>2712</v>
      </c>
      <c r="AI122" s="26" t="s">
        <v>167</v>
      </c>
      <c r="AJ122" s="26" t="s">
        <v>168</v>
      </c>
      <c r="AK122" s="26" t="s">
        <v>169</v>
      </c>
      <c r="AL122" s="26" t="s">
        <v>2713</v>
      </c>
      <c r="AM122" s="26" t="s">
        <v>2714</v>
      </c>
      <c r="AN122" s="26" t="s">
        <v>172</v>
      </c>
      <c r="AO122" s="26" t="s">
        <v>2715</v>
      </c>
      <c r="AP122" s="26" t="s">
        <v>162</v>
      </c>
      <c r="AQ122" s="26" t="s">
        <v>2716</v>
      </c>
      <c r="AR122" s="26" t="s">
        <v>2717</v>
      </c>
      <c r="AS122" s="26" t="s">
        <v>1315</v>
      </c>
      <c r="AU122" s="26" t="s">
        <v>2718</v>
      </c>
      <c r="AV122" s="26" t="s">
        <v>2718</v>
      </c>
      <c r="AX122" s="26" t="s">
        <v>2719</v>
      </c>
      <c r="AY122" s="26" t="s">
        <v>179</v>
      </c>
      <c r="BC122" s="26" t="s">
        <v>2705</v>
      </c>
      <c r="BD122" s="26" t="s">
        <v>180</v>
      </c>
      <c r="BE122" s="26" t="s">
        <v>181</v>
      </c>
      <c r="BF122" s="26" t="s">
        <v>167</v>
      </c>
      <c r="BH122" s="26" t="s">
        <v>162</v>
      </c>
      <c r="BI122" s="26" t="s">
        <v>182</v>
      </c>
      <c r="BJ122" s="26" t="s">
        <v>2720</v>
      </c>
      <c r="BK122" s="26" t="s">
        <v>184</v>
      </c>
      <c r="BL122" s="26" t="s">
        <v>185</v>
      </c>
      <c r="BM122" s="26" t="s">
        <v>186</v>
      </c>
      <c r="BN122" s="26" t="s">
        <v>162</v>
      </c>
      <c r="BP122" s="26">
        <v>0</v>
      </c>
      <c r="BQ122" s="26" t="s">
        <v>1294</v>
      </c>
      <c r="BR122" s="26" t="s">
        <v>2721</v>
      </c>
      <c r="BS122" s="26" t="s">
        <v>230</v>
      </c>
      <c r="BT122" s="26" t="s">
        <v>185</v>
      </c>
      <c r="BV122" s="26">
        <v>7.4322</v>
      </c>
      <c r="BW122" s="26">
        <v>0.055</v>
      </c>
      <c r="BZ122" s="26">
        <v>0</v>
      </c>
      <c r="CA122" s="26" t="s">
        <v>189</v>
      </c>
      <c r="CC122" s="26" t="s">
        <v>162</v>
      </c>
      <c r="CD122" s="26">
        <v>0</v>
      </c>
      <c r="CE122" s="26" t="s">
        <v>190</v>
      </c>
      <c r="CF122" s="26" t="s">
        <v>167</v>
      </c>
      <c r="CG122" s="26" t="s">
        <v>2722</v>
      </c>
      <c r="CI122" s="26" t="s">
        <v>2359</v>
      </c>
      <c r="CJ122" s="26">
        <v>135.13</v>
      </c>
      <c r="CK122" s="26">
        <v>0</v>
      </c>
      <c r="CL122" s="26">
        <v>6.76</v>
      </c>
      <c r="CM122" s="26">
        <v>19.78</v>
      </c>
      <c r="CQ122" s="26" t="s">
        <v>437</v>
      </c>
      <c r="CR122" s="26" t="s">
        <v>2723</v>
      </c>
      <c r="CS122" s="26" t="s">
        <v>2724</v>
      </c>
      <c r="CW122" s="26" t="s">
        <v>2725</v>
      </c>
      <c r="CX122" s="26" t="s">
        <v>162</v>
      </c>
      <c r="CY122" s="26" t="s">
        <v>196</v>
      </c>
      <c r="CZ122" s="26">
        <v>0</v>
      </c>
      <c r="DB122" s="26">
        <v>0</v>
      </c>
      <c r="DK122" s="26" t="s">
        <v>150</v>
      </c>
      <c r="DL122" s="26" t="s">
        <v>542</v>
      </c>
      <c r="DM122" s="26" t="s">
        <v>2726</v>
      </c>
      <c r="DN122" s="26" t="s">
        <v>2727</v>
      </c>
      <c r="DO122" s="26" t="s">
        <v>2728</v>
      </c>
      <c r="DP122" s="26" t="s">
        <v>2729</v>
      </c>
      <c r="DR122" s="26" t="s">
        <v>189</v>
      </c>
      <c r="DS122" s="26" t="s">
        <v>189</v>
      </c>
      <c r="DT122" s="26" t="s">
        <v>189</v>
      </c>
      <c r="DU122" s="26" t="s">
        <v>189</v>
      </c>
      <c r="DV122" s="26" t="s">
        <v>203</v>
      </c>
      <c r="DW122" s="26" t="s">
        <v>162</v>
      </c>
      <c r="DX122" s="26" t="s">
        <v>162</v>
      </c>
      <c r="DY122" s="26">
        <v>0</v>
      </c>
      <c r="DZ122" s="26" t="s">
        <v>150</v>
      </c>
      <c r="EH122" s="26" t="s">
        <v>189</v>
      </c>
      <c r="EI122" s="26">
        <v>0.055</v>
      </c>
      <c r="EJ122" s="26">
        <v>7.4322</v>
      </c>
      <c r="EK122" s="26">
        <v>19.7801</v>
      </c>
      <c r="EL122" s="26" t="s">
        <v>2730</v>
      </c>
      <c r="EM122" s="26" t="s">
        <v>206</v>
      </c>
      <c r="EN122" s="26" t="s">
        <v>207</v>
      </c>
    </row>
    <row r="123" spans="1:144">
      <c r="A123" s="26" t="s">
        <v>145</v>
      </c>
      <c r="B123" s="26" t="s">
        <v>763</v>
      </c>
      <c r="C123" s="26" t="s">
        <v>2731</v>
      </c>
      <c r="D123" s="26" t="s">
        <v>148</v>
      </c>
      <c r="E123" s="26" t="s">
        <v>149</v>
      </c>
      <c r="F123" s="26" t="s">
        <v>152</v>
      </c>
      <c r="G123" s="26" t="s">
        <v>151</v>
      </c>
      <c r="H123" s="26" t="s">
        <v>152</v>
      </c>
      <c r="I123" s="26" t="s">
        <v>153</v>
      </c>
      <c r="J123" s="26" t="s">
        <v>154</v>
      </c>
      <c r="K123" s="26" t="s">
        <v>155</v>
      </c>
      <c r="L123" s="26" t="s">
        <v>1109</v>
      </c>
      <c r="M123" s="26" t="s">
        <v>2732</v>
      </c>
      <c r="N123" s="26" t="s">
        <v>2733</v>
      </c>
      <c r="O123" s="26" t="s">
        <v>2734</v>
      </c>
      <c r="P123" s="26" t="s">
        <v>2735</v>
      </c>
      <c r="Q123" s="26" t="s">
        <v>2736</v>
      </c>
      <c r="R123" s="26">
        <v>290.444084</v>
      </c>
      <c r="S123" s="26" t="s">
        <v>2737</v>
      </c>
      <c r="T123" s="26">
        <v>284.281904</v>
      </c>
      <c r="U123" s="26" t="s">
        <v>217</v>
      </c>
      <c r="V123" s="26" t="s">
        <v>150</v>
      </c>
      <c r="Y123" s="26" t="s">
        <v>2738</v>
      </c>
      <c r="Z123" s="26">
        <v>43.5666126</v>
      </c>
      <c r="AA123" s="26">
        <v>0</v>
      </c>
      <c r="AB123" s="26">
        <v>0</v>
      </c>
      <c r="AC123" s="26">
        <v>65</v>
      </c>
      <c r="AD123" s="26" t="s">
        <v>2739</v>
      </c>
      <c r="AE123" s="26" t="s">
        <v>2739</v>
      </c>
      <c r="AF123" s="26">
        <v>68</v>
      </c>
      <c r="AG123" s="26" t="s">
        <v>2740</v>
      </c>
      <c r="AI123" s="26" t="s">
        <v>167</v>
      </c>
      <c r="AJ123" s="26" t="s">
        <v>797</v>
      </c>
      <c r="AK123" s="26" t="s">
        <v>798</v>
      </c>
      <c r="AL123" s="26" t="s">
        <v>162</v>
      </c>
      <c r="AM123" s="26" t="s">
        <v>2741</v>
      </c>
      <c r="AN123" s="26" t="s">
        <v>172</v>
      </c>
      <c r="AO123" s="26" t="s">
        <v>659</v>
      </c>
      <c r="AP123" s="26" t="s">
        <v>162</v>
      </c>
      <c r="AQ123" s="26" t="s">
        <v>2742</v>
      </c>
      <c r="AS123" s="26" t="s">
        <v>381</v>
      </c>
      <c r="AU123" s="26" t="s">
        <v>2743</v>
      </c>
      <c r="AV123" s="26" t="s">
        <v>150</v>
      </c>
      <c r="AX123" s="26" t="s">
        <v>2744</v>
      </c>
      <c r="AY123" s="26" t="s">
        <v>2335</v>
      </c>
      <c r="BC123" s="26" t="s">
        <v>2731</v>
      </c>
      <c r="BD123" s="26" t="s">
        <v>180</v>
      </c>
      <c r="BE123" s="26" t="s">
        <v>181</v>
      </c>
      <c r="BF123" s="26" t="s">
        <v>167</v>
      </c>
      <c r="BH123" s="26" t="s">
        <v>162</v>
      </c>
      <c r="BI123" s="26" t="s">
        <v>807</v>
      </c>
      <c r="BK123" s="26" t="s">
        <v>184</v>
      </c>
      <c r="BL123" s="26" t="s">
        <v>185</v>
      </c>
      <c r="BM123" s="26" t="s">
        <v>186</v>
      </c>
      <c r="BN123" s="26" t="s">
        <v>162</v>
      </c>
      <c r="BP123" s="26">
        <v>0</v>
      </c>
      <c r="BQ123" s="26" t="s">
        <v>666</v>
      </c>
      <c r="BR123" s="26" t="s">
        <v>667</v>
      </c>
      <c r="BS123" s="26" t="s">
        <v>230</v>
      </c>
      <c r="BT123" s="26" t="s">
        <v>185</v>
      </c>
      <c r="BV123" s="26">
        <v>46.4704</v>
      </c>
      <c r="BW123" s="26">
        <v>0.16</v>
      </c>
      <c r="BZ123" s="26" t="s">
        <v>167</v>
      </c>
      <c r="CA123" s="26" t="s">
        <v>189</v>
      </c>
      <c r="CC123" s="26" t="s">
        <v>162</v>
      </c>
      <c r="CD123" s="26">
        <v>0</v>
      </c>
      <c r="CE123" s="26" t="s">
        <v>190</v>
      </c>
      <c r="CF123" s="26" t="s">
        <v>167</v>
      </c>
      <c r="CG123" s="26" t="s">
        <v>2745</v>
      </c>
      <c r="CI123" s="26" t="s">
        <v>191</v>
      </c>
      <c r="CJ123" s="26">
        <v>290.44</v>
      </c>
      <c r="CK123" s="26">
        <v>0</v>
      </c>
      <c r="CL123" s="26">
        <v>14.52</v>
      </c>
      <c r="CM123" s="26">
        <v>46.78</v>
      </c>
      <c r="CQ123" s="26" t="s">
        <v>233</v>
      </c>
      <c r="CR123" s="26" t="s">
        <v>782</v>
      </c>
      <c r="CS123" s="26" t="s">
        <v>2746</v>
      </c>
      <c r="CW123" s="26" t="s">
        <v>2747</v>
      </c>
      <c r="CX123" s="26" t="s">
        <v>162</v>
      </c>
      <c r="CY123" s="26" t="s">
        <v>196</v>
      </c>
      <c r="CZ123" s="26">
        <v>0</v>
      </c>
      <c r="DA123" s="26" t="s">
        <v>150</v>
      </c>
      <c r="DB123" s="26">
        <v>0</v>
      </c>
      <c r="DK123" s="26" t="s">
        <v>150</v>
      </c>
      <c r="DL123" s="26" t="s">
        <v>1928</v>
      </c>
      <c r="DM123" s="26" t="s">
        <v>2748</v>
      </c>
      <c r="DO123" s="26" t="s">
        <v>2749</v>
      </c>
      <c r="DR123" s="26" t="s">
        <v>189</v>
      </c>
      <c r="DS123" s="26" t="s">
        <v>189</v>
      </c>
      <c r="DT123" s="26" t="s">
        <v>189</v>
      </c>
      <c r="DU123" s="26" t="s">
        <v>189</v>
      </c>
      <c r="DV123" s="26" t="s">
        <v>203</v>
      </c>
      <c r="DW123" s="26" t="s">
        <v>162</v>
      </c>
      <c r="DX123" s="26" t="s">
        <v>162</v>
      </c>
      <c r="DY123" s="26">
        <v>0</v>
      </c>
      <c r="DZ123" s="26" t="s">
        <v>150</v>
      </c>
      <c r="EH123" s="26" t="s">
        <v>189</v>
      </c>
      <c r="EI123" s="26">
        <v>0.16</v>
      </c>
      <c r="EJ123" s="26">
        <v>46.4704</v>
      </c>
      <c r="EK123" s="26">
        <v>46.78</v>
      </c>
      <c r="EL123" s="26" t="s">
        <v>2750</v>
      </c>
      <c r="EM123" s="26" t="s">
        <v>206</v>
      </c>
      <c r="EN123" s="26" t="s">
        <v>207</v>
      </c>
    </row>
    <row r="124" spans="1:144">
      <c r="A124" s="26" t="s">
        <v>145</v>
      </c>
      <c r="B124" s="26" t="s">
        <v>1556</v>
      </c>
      <c r="C124" s="26" t="s">
        <v>2751</v>
      </c>
      <c r="D124" s="26" t="s">
        <v>148</v>
      </c>
      <c r="E124" s="26" t="s">
        <v>149</v>
      </c>
      <c r="F124" s="26" t="s">
        <v>152</v>
      </c>
      <c r="G124" s="26" t="s">
        <v>151</v>
      </c>
      <c r="H124" s="26" t="s">
        <v>152</v>
      </c>
      <c r="I124" s="26" t="s">
        <v>153</v>
      </c>
      <c r="J124" s="26" t="s">
        <v>154</v>
      </c>
      <c r="K124" s="26" t="s">
        <v>244</v>
      </c>
      <c r="L124" s="26" t="s">
        <v>283</v>
      </c>
      <c r="M124" s="26" t="s">
        <v>2752</v>
      </c>
      <c r="N124" s="26" t="s">
        <v>2753</v>
      </c>
      <c r="O124" s="26" t="s">
        <v>2754</v>
      </c>
      <c r="P124" s="26" t="s">
        <v>2755</v>
      </c>
      <c r="Q124" s="26" t="s">
        <v>2756</v>
      </c>
      <c r="R124" s="26">
        <v>583.67639</v>
      </c>
      <c r="S124" s="26" t="s">
        <v>2757</v>
      </c>
      <c r="T124" s="26">
        <v>169.81877</v>
      </c>
      <c r="U124" s="26" t="s">
        <v>217</v>
      </c>
      <c r="V124" s="26" t="s">
        <v>150</v>
      </c>
      <c r="Y124" s="26" t="s">
        <v>2758</v>
      </c>
      <c r="Z124" s="26">
        <v>29.1838195</v>
      </c>
      <c r="AA124" s="26">
        <v>0</v>
      </c>
      <c r="AB124" s="26">
        <v>0</v>
      </c>
      <c r="AC124" s="26">
        <v>38</v>
      </c>
      <c r="AD124" s="26" t="s">
        <v>253</v>
      </c>
      <c r="AE124" s="26" t="s">
        <v>253</v>
      </c>
      <c r="AF124" s="26" t="s">
        <v>253</v>
      </c>
      <c r="AG124" s="26" t="s">
        <v>2759</v>
      </c>
      <c r="AI124" s="26" t="s">
        <v>167</v>
      </c>
      <c r="AJ124" s="26" t="s">
        <v>168</v>
      </c>
      <c r="AK124" s="26" t="s">
        <v>169</v>
      </c>
      <c r="AL124" s="26" t="s">
        <v>2760</v>
      </c>
      <c r="AM124" s="26" t="s">
        <v>345</v>
      </c>
      <c r="AN124" s="26" t="s">
        <v>172</v>
      </c>
      <c r="AO124" s="26" t="s">
        <v>2761</v>
      </c>
      <c r="AP124" s="26" t="s">
        <v>162</v>
      </c>
      <c r="AQ124" s="26" t="s">
        <v>2762</v>
      </c>
      <c r="AR124" s="26" t="s">
        <v>2763</v>
      </c>
      <c r="AS124" s="26" t="s">
        <v>1898</v>
      </c>
      <c r="AU124" s="26" t="s">
        <v>2764</v>
      </c>
      <c r="AV124" s="26" t="s">
        <v>2764</v>
      </c>
      <c r="AX124" s="26" t="s">
        <v>2765</v>
      </c>
      <c r="AY124" s="26" t="s">
        <v>179</v>
      </c>
      <c r="BC124" s="26" t="s">
        <v>2751</v>
      </c>
      <c r="BD124" s="26" t="s">
        <v>180</v>
      </c>
      <c r="BE124" s="26" t="s">
        <v>181</v>
      </c>
      <c r="BF124" s="26" t="s">
        <v>167</v>
      </c>
      <c r="BH124" s="26" t="s">
        <v>162</v>
      </c>
      <c r="BI124" s="26" t="s">
        <v>182</v>
      </c>
      <c r="BJ124" s="26" t="s">
        <v>2766</v>
      </c>
      <c r="BK124" s="26" t="s">
        <v>302</v>
      </c>
      <c r="BL124" s="26" t="s">
        <v>185</v>
      </c>
      <c r="BM124" s="26" t="s">
        <v>186</v>
      </c>
      <c r="BN124" s="26" t="s">
        <v>162</v>
      </c>
      <c r="BP124" s="26">
        <v>0</v>
      </c>
      <c r="BR124" s="26" t="s">
        <v>385</v>
      </c>
      <c r="BS124" s="26" t="s">
        <v>354</v>
      </c>
      <c r="BT124" s="26" t="s">
        <v>185</v>
      </c>
      <c r="BV124" s="26">
        <v>28.1392</v>
      </c>
      <c r="BW124" s="26">
        <v>0.16</v>
      </c>
      <c r="BZ124" s="26">
        <v>0</v>
      </c>
      <c r="CA124" s="26" t="s">
        <v>189</v>
      </c>
      <c r="CC124" s="26" t="s">
        <v>162</v>
      </c>
      <c r="CD124" s="26">
        <v>0</v>
      </c>
      <c r="CE124" s="26" t="s">
        <v>190</v>
      </c>
      <c r="CF124" s="26" t="s">
        <v>167</v>
      </c>
      <c r="CG124" s="26" t="s">
        <v>2767</v>
      </c>
      <c r="CI124" s="26" t="s">
        <v>267</v>
      </c>
      <c r="CJ124" s="26">
        <v>175.87</v>
      </c>
      <c r="CK124" s="26">
        <v>0</v>
      </c>
      <c r="CL124" s="26">
        <v>8.79</v>
      </c>
      <c r="CM124" s="26">
        <v>30.12</v>
      </c>
      <c r="CQ124" s="26" t="s">
        <v>233</v>
      </c>
      <c r="CR124" s="26" t="s">
        <v>2768</v>
      </c>
      <c r="CS124" s="26" t="s">
        <v>2769</v>
      </c>
      <c r="CW124" s="26" t="s">
        <v>2770</v>
      </c>
      <c r="CX124" s="26" t="s">
        <v>162</v>
      </c>
      <c r="CY124" s="26" t="s">
        <v>196</v>
      </c>
      <c r="CZ124" s="26">
        <v>0</v>
      </c>
      <c r="DB124" s="26">
        <v>0</v>
      </c>
      <c r="DK124" s="26" t="s">
        <v>150</v>
      </c>
      <c r="DL124" s="26" t="s">
        <v>237</v>
      </c>
      <c r="DM124" s="26" t="s">
        <v>2771</v>
      </c>
      <c r="DN124" s="26" t="s">
        <v>2772</v>
      </c>
      <c r="DO124" s="26" t="s">
        <v>2773</v>
      </c>
      <c r="DP124" s="26" t="s">
        <v>2774</v>
      </c>
      <c r="DR124" s="26" t="s">
        <v>189</v>
      </c>
      <c r="DS124" s="26" t="s">
        <v>189</v>
      </c>
      <c r="DT124" s="26" t="s">
        <v>189</v>
      </c>
      <c r="DU124" s="26" t="s">
        <v>189</v>
      </c>
      <c r="DV124" s="26" t="s">
        <v>203</v>
      </c>
      <c r="DW124" s="26" t="s">
        <v>162</v>
      </c>
      <c r="DX124" s="26" t="s">
        <v>162</v>
      </c>
      <c r="DY124" s="26">
        <v>0</v>
      </c>
      <c r="DZ124" s="26" t="s">
        <v>150</v>
      </c>
      <c r="EH124" s="26" t="s">
        <v>189</v>
      </c>
      <c r="EI124" s="26">
        <v>0.16</v>
      </c>
      <c r="EJ124" s="26">
        <v>28.1392</v>
      </c>
      <c r="EK124" s="26">
        <v>30.12</v>
      </c>
      <c r="EL124" s="26" t="s">
        <v>2775</v>
      </c>
      <c r="EM124" s="26" t="s">
        <v>206</v>
      </c>
      <c r="EN124" s="26" t="s">
        <v>207</v>
      </c>
    </row>
    <row r="125" spans="1:144">
      <c r="A125" s="26" t="s">
        <v>145</v>
      </c>
      <c r="B125" s="26" t="s">
        <v>1556</v>
      </c>
      <c r="C125" s="26" t="s">
        <v>2751</v>
      </c>
      <c r="D125" s="26" t="s">
        <v>148</v>
      </c>
      <c r="E125" s="26" t="s">
        <v>149</v>
      </c>
      <c r="F125" s="26" t="s">
        <v>152</v>
      </c>
      <c r="G125" s="26" t="s">
        <v>151</v>
      </c>
      <c r="H125" s="26" t="s">
        <v>152</v>
      </c>
      <c r="I125" s="26" t="s">
        <v>153</v>
      </c>
      <c r="J125" s="26" t="s">
        <v>154</v>
      </c>
      <c r="K125" s="26" t="s">
        <v>474</v>
      </c>
      <c r="L125" s="26" t="s">
        <v>2075</v>
      </c>
      <c r="M125" s="26" t="s">
        <v>2752</v>
      </c>
      <c r="O125" s="26" t="s">
        <v>2776</v>
      </c>
      <c r="P125" s="26" t="s">
        <v>2777</v>
      </c>
      <c r="S125" s="26" t="s">
        <v>2778</v>
      </c>
      <c r="T125" s="26">
        <v>214.99621</v>
      </c>
      <c r="U125" s="26" t="s">
        <v>217</v>
      </c>
      <c r="V125" s="26" t="s">
        <v>150</v>
      </c>
      <c r="Y125" s="26" t="s">
        <v>2758</v>
      </c>
      <c r="Z125" s="26">
        <v>29.1838195</v>
      </c>
      <c r="AA125" s="26">
        <v>0</v>
      </c>
      <c r="AB125" s="26">
        <v>0</v>
      </c>
      <c r="AC125" s="26">
        <v>43</v>
      </c>
      <c r="AD125" s="26" t="s">
        <v>2779</v>
      </c>
      <c r="AE125" s="26" t="s">
        <v>2779</v>
      </c>
      <c r="AF125" s="26" t="s">
        <v>2779</v>
      </c>
      <c r="AG125" s="26" t="s">
        <v>2780</v>
      </c>
      <c r="AI125" s="26" t="s">
        <v>167</v>
      </c>
      <c r="AJ125" s="26" t="s">
        <v>168</v>
      </c>
      <c r="AK125" s="26" t="s">
        <v>169</v>
      </c>
      <c r="AM125" s="26" t="s">
        <v>2781</v>
      </c>
      <c r="AN125" s="26" t="s">
        <v>172</v>
      </c>
      <c r="AO125" s="26" t="s">
        <v>2782</v>
      </c>
      <c r="AP125" s="26" t="s">
        <v>162</v>
      </c>
      <c r="AQ125" s="26" t="s">
        <v>2762</v>
      </c>
      <c r="AR125" s="26" t="s">
        <v>2763</v>
      </c>
      <c r="AS125" s="26" t="s">
        <v>635</v>
      </c>
      <c r="AU125" s="26" t="s">
        <v>2764</v>
      </c>
      <c r="AV125" s="26" t="s">
        <v>2764</v>
      </c>
      <c r="AX125" s="26" t="s">
        <v>2783</v>
      </c>
      <c r="AY125" s="26" t="s">
        <v>179</v>
      </c>
      <c r="BC125" s="26" t="s">
        <v>2751</v>
      </c>
      <c r="BD125" s="26" t="s">
        <v>180</v>
      </c>
      <c r="BE125" s="26" t="s">
        <v>181</v>
      </c>
      <c r="BF125" s="26" t="s">
        <v>167</v>
      </c>
      <c r="BH125" s="26" t="s">
        <v>162</v>
      </c>
      <c r="BI125" s="26" t="s">
        <v>182</v>
      </c>
      <c r="BJ125" s="26" t="s">
        <v>2784</v>
      </c>
      <c r="BK125" s="26" t="s">
        <v>302</v>
      </c>
      <c r="BL125" s="26" t="s">
        <v>185</v>
      </c>
      <c r="BM125" s="26" t="s">
        <v>186</v>
      </c>
      <c r="BN125" s="26" t="s">
        <v>162</v>
      </c>
      <c r="BP125" s="26">
        <v>0</v>
      </c>
      <c r="BQ125" s="26" t="s">
        <v>324</v>
      </c>
      <c r="BS125" s="26" t="s">
        <v>230</v>
      </c>
      <c r="BT125" s="26" t="s">
        <v>185</v>
      </c>
      <c r="BV125" s="26">
        <v>35.368</v>
      </c>
      <c r="BW125" s="26">
        <v>0.16</v>
      </c>
      <c r="BZ125" s="26">
        <v>0</v>
      </c>
      <c r="CA125" s="26" t="s">
        <v>189</v>
      </c>
      <c r="CC125" s="26" t="s">
        <v>162</v>
      </c>
      <c r="CD125" s="26">
        <v>0</v>
      </c>
      <c r="CE125" s="26" t="s">
        <v>190</v>
      </c>
      <c r="CF125" s="26" t="s">
        <v>305</v>
      </c>
      <c r="CG125" s="26" t="s">
        <v>2785</v>
      </c>
      <c r="CI125" s="26" t="s">
        <v>496</v>
      </c>
      <c r="CJ125" s="26">
        <v>221.05</v>
      </c>
      <c r="CK125" s="26">
        <v>0</v>
      </c>
      <c r="CL125" s="26">
        <v>11.05</v>
      </c>
      <c r="CM125" s="26">
        <v>30.25</v>
      </c>
      <c r="CQ125" s="26" t="s">
        <v>437</v>
      </c>
      <c r="CR125" s="26" t="s">
        <v>2768</v>
      </c>
      <c r="CS125" s="26" t="s">
        <v>2769</v>
      </c>
      <c r="CW125" s="26" t="s">
        <v>2786</v>
      </c>
      <c r="CX125" s="26" t="s">
        <v>162</v>
      </c>
      <c r="CY125" s="26" t="s">
        <v>196</v>
      </c>
      <c r="CZ125" s="26">
        <v>0</v>
      </c>
      <c r="DB125" s="26">
        <v>0</v>
      </c>
      <c r="DK125" s="26" t="s">
        <v>150</v>
      </c>
      <c r="DL125" s="26" t="s">
        <v>237</v>
      </c>
      <c r="DM125" s="26" t="s">
        <v>2771</v>
      </c>
      <c r="DN125" s="26" t="s">
        <v>2772</v>
      </c>
      <c r="DO125" s="26" t="s">
        <v>2773</v>
      </c>
      <c r="DP125" s="26" t="s">
        <v>2774</v>
      </c>
      <c r="DR125" s="26" t="s">
        <v>189</v>
      </c>
      <c r="DS125" s="26" t="s">
        <v>189</v>
      </c>
      <c r="DT125" s="26" t="s">
        <v>189</v>
      </c>
      <c r="DU125" s="26" t="s">
        <v>189</v>
      </c>
      <c r="DV125" s="26" t="s">
        <v>203</v>
      </c>
      <c r="DW125" s="26" t="s">
        <v>162</v>
      </c>
      <c r="DX125" s="26" t="s">
        <v>162</v>
      </c>
      <c r="DY125" s="26">
        <v>0</v>
      </c>
      <c r="DZ125" s="26" t="s">
        <v>150</v>
      </c>
      <c r="EH125" s="26" t="s">
        <v>189</v>
      </c>
      <c r="EI125" s="26">
        <v>0.16</v>
      </c>
      <c r="EJ125" s="26">
        <v>35.368</v>
      </c>
      <c r="EK125" s="26">
        <v>30.25</v>
      </c>
      <c r="EL125" s="26" t="s">
        <v>2787</v>
      </c>
      <c r="EM125" s="26" t="s">
        <v>206</v>
      </c>
      <c r="EN125" s="26" t="s">
        <v>207</v>
      </c>
    </row>
    <row r="126" spans="1:144">
      <c r="A126" s="26" t="s">
        <v>145</v>
      </c>
      <c r="B126" s="26" t="s">
        <v>1556</v>
      </c>
      <c r="C126" s="26" t="s">
        <v>2751</v>
      </c>
      <c r="D126" s="26" t="s">
        <v>148</v>
      </c>
      <c r="E126" s="26" t="s">
        <v>149</v>
      </c>
      <c r="F126" s="26" t="s">
        <v>152</v>
      </c>
      <c r="G126" s="26" t="s">
        <v>151</v>
      </c>
      <c r="H126" s="26" t="s">
        <v>152</v>
      </c>
      <c r="I126" s="26" t="s">
        <v>153</v>
      </c>
      <c r="J126" s="26" t="s">
        <v>154</v>
      </c>
      <c r="K126" s="26" t="s">
        <v>474</v>
      </c>
      <c r="L126" s="26" t="s">
        <v>475</v>
      </c>
      <c r="M126" s="26" t="s">
        <v>2752</v>
      </c>
      <c r="O126" s="26" t="s">
        <v>2788</v>
      </c>
      <c r="P126" s="26" t="s">
        <v>2789</v>
      </c>
      <c r="S126" s="26" t="s">
        <v>1281</v>
      </c>
      <c r="T126" s="26">
        <v>180.70976</v>
      </c>
      <c r="U126" s="26" t="s">
        <v>217</v>
      </c>
      <c r="V126" s="26" t="s">
        <v>150</v>
      </c>
      <c r="Y126" s="26" t="s">
        <v>2758</v>
      </c>
      <c r="Z126" s="26">
        <v>29.1838195</v>
      </c>
      <c r="AA126" s="26">
        <v>0</v>
      </c>
      <c r="AB126" s="26">
        <v>0</v>
      </c>
      <c r="AC126" s="26">
        <v>42</v>
      </c>
      <c r="AD126" s="26" t="s">
        <v>902</v>
      </c>
      <c r="AE126" s="26" t="s">
        <v>902</v>
      </c>
      <c r="AF126" s="26" t="s">
        <v>902</v>
      </c>
      <c r="AG126" s="26" t="s">
        <v>2790</v>
      </c>
      <c r="AI126" s="26" t="s">
        <v>167</v>
      </c>
      <c r="AJ126" s="26" t="s">
        <v>168</v>
      </c>
      <c r="AK126" s="26" t="s">
        <v>169</v>
      </c>
      <c r="AM126" s="26" t="s">
        <v>770</v>
      </c>
      <c r="AN126" s="26" t="s">
        <v>172</v>
      </c>
      <c r="AO126" s="26" t="s">
        <v>801</v>
      </c>
      <c r="AP126" s="26" t="s">
        <v>162</v>
      </c>
      <c r="AQ126" s="26" t="s">
        <v>2762</v>
      </c>
      <c r="AR126" s="26" t="s">
        <v>2763</v>
      </c>
      <c r="AS126" s="26" t="s">
        <v>937</v>
      </c>
      <c r="AT126" s="26" t="s">
        <v>2791</v>
      </c>
      <c r="AU126" s="26" t="s">
        <v>2764</v>
      </c>
      <c r="AV126" s="26" t="s">
        <v>2764</v>
      </c>
      <c r="AX126" s="26" t="s">
        <v>2792</v>
      </c>
      <c r="AY126" s="26" t="s">
        <v>179</v>
      </c>
      <c r="BC126" s="26" t="s">
        <v>2751</v>
      </c>
      <c r="BD126" s="26" t="s">
        <v>180</v>
      </c>
      <c r="BE126" s="26" t="s">
        <v>181</v>
      </c>
      <c r="BF126" s="26" t="s">
        <v>167</v>
      </c>
      <c r="BH126" s="26" t="s">
        <v>162</v>
      </c>
      <c r="BI126" s="26" t="s">
        <v>182</v>
      </c>
      <c r="BJ126" s="26" t="s">
        <v>480</v>
      </c>
      <c r="BK126" s="26" t="s">
        <v>302</v>
      </c>
      <c r="BL126" s="26" t="s">
        <v>185</v>
      </c>
      <c r="BM126" s="26" t="s">
        <v>186</v>
      </c>
      <c r="BN126" s="26" t="s">
        <v>162</v>
      </c>
      <c r="BP126" s="26">
        <v>0</v>
      </c>
      <c r="BR126" s="26" t="s">
        <v>801</v>
      </c>
      <c r="BS126" s="26" t="s">
        <v>354</v>
      </c>
      <c r="BT126" s="26" t="s">
        <v>185</v>
      </c>
      <c r="BV126" s="26">
        <v>29.8816</v>
      </c>
      <c r="BW126" s="26">
        <v>0.16</v>
      </c>
      <c r="BZ126" s="26">
        <v>0</v>
      </c>
      <c r="CA126" s="26" t="s">
        <v>189</v>
      </c>
      <c r="CC126" s="26" t="s">
        <v>162</v>
      </c>
      <c r="CD126" s="26">
        <v>0</v>
      </c>
      <c r="CE126" s="26" t="s">
        <v>190</v>
      </c>
      <c r="CF126" s="26" t="s">
        <v>195</v>
      </c>
      <c r="CG126" s="26" t="s">
        <v>2793</v>
      </c>
      <c r="CI126" s="26" t="s">
        <v>496</v>
      </c>
      <c r="CJ126" s="26">
        <v>186.76</v>
      </c>
      <c r="CK126" s="26">
        <v>0</v>
      </c>
      <c r="CL126" s="26">
        <v>9.34</v>
      </c>
      <c r="CM126" s="26">
        <v>32.99</v>
      </c>
      <c r="CQ126" s="26" t="s">
        <v>437</v>
      </c>
      <c r="CR126" s="26" t="s">
        <v>2768</v>
      </c>
      <c r="CS126" s="26" t="s">
        <v>2769</v>
      </c>
      <c r="CW126" s="26" t="s">
        <v>2794</v>
      </c>
      <c r="CX126" s="26" t="s">
        <v>162</v>
      </c>
      <c r="CY126" s="26" t="s">
        <v>196</v>
      </c>
      <c r="CZ126" s="26">
        <v>0</v>
      </c>
      <c r="DB126" s="26">
        <v>0</v>
      </c>
      <c r="DK126" s="26" t="s">
        <v>150</v>
      </c>
      <c r="DL126" s="26" t="s">
        <v>237</v>
      </c>
      <c r="DM126" s="26" t="s">
        <v>2771</v>
      </c>
      <c r="DN126" s="26" t="s">
        <v>2772</v>
      </c>
      <c r="DO126" s="26" t="s">
        <v>2773</v>
      </c>
      <c r="DP126" s="26" t="s">
        <v>2774</v>
      </c>
      <c r="DR126" s="26" t="s">
        <v>189</v>
      </c>
      <c r="DS126" s="26" t="s">
        <v>189</v>
      </c>
      <c r="DT126" s="26" t="s">
        <v>189</v>
      </c>
      <c r="DU126" s="26" t="s">
        <v>189</v>
      </c>
      <c r="DV126" s="26" t="s">
        <v>203</v>
      </c>
      <c r="DW126" s="26" t="s">
        <v>162</v>
      </c>
      <c r="DX126" s="26" t="s">
        <v>162</v>
      </c>
      <c r="DY126" s="26">
        <v>0</v>
      </c>
      <c r="DZ126" s="26" t="s">
        <v>150</v>
      </c>
      <c r="EA126" s="26" t="s">
        <v>534</v>
      </c>
      <c r="EB126" s="26" t="s">
        <v>547</v>
      </c>
      <c r="EC126" s="26" t="s">
        <v>2791</v>
      </c>
      <c r="ED126" s="26" t="s">
        <v>2795</v>
      </c>
      <c r="EH126" s="26" t="s">
        <v>189</v>
      </c>
      <c r="EI126" s="26">
        <v>0.16</v>
      </c>
      <c r="EJ126" s="26">
        <v>29.8816</v>
      </c>
      <c r="EK126" s="26">
        <v>32.99</v>
      </c>
      <c r="EL126" s="26" t="s">
        <v>2796</v>
      </c>
      <c r="EM126" s="26" t="s">
        <v>206</v>
      </c>
      <c r="EN126" s="26" t="s">
        <v>207</v>
      </c>
    </row>
    <row r="127" spans="1:144">
      <c r="A127" s="26" t="s">
        <v>145</v>
      </c>
      <c r="B127" s="26" t="s">
        <v>1556</v>
      </c>
      <c r="C127" s="26" t="s">
        <v>2797</v>
      </c>
      <c r="D127" s="26" t="s">
        <v>148</v>
      </c>
      <c r="E127" s="26" t="s">
        <v>149</v>
      </c>
      <c r="F127" s="26" t="s">
        <v>152</v>
      </c>
      <c r="G127" s="26" t="s">
        <v>151</v>
      </c>
      <c r="H127" s="26" t="s">
        <v>152</v>
      </c>
      <c r="I127" s="26" t="s">
        <v>153</v>
      </c>
      <c r="J127" s="26" t="s">
        <v>154</v>
      </c>
      <c r="K127" s="26" t="s">
        <v>244</v>
      </c>
      <c r="L127" s="26" t="s">
        <v>765</v>
      </c>
      <c r="M127" s="26" t="s">
        <v>2798</v>
      </c>
      <c r="N127" s="26" t="s">
        <v>2799</v>
      </c>
      <c r="O127" s="26" t="s">
        <v>2800</v>
      </c>
      <c r="P127" s="26" t="s">
        <v>2801</v>
      </c>
      <c r="Q127" s="26" t="s">
        <v>2802</v>
      </c>
      <c r="R127" s="26">
        <v>166.99518</v>
      </c>
      <c r="S127" s="26" t="s">
        <v>2803</v>
      </c>
      <c r="T127" s="26">
        <v>160.94463</v>
      </c>
      <c r="U127" s="26" t="s">
        <v>217</v>
      </c>
      <c r="V127" s="26" t="s">
        <v>150</v>
      </c>
      <c r="Y127" s="26" t="s">
        <v>2804</v>
      </c>
      <c r="Z127" s="26">
        <v>25.049277</v>
      </c>
      <c r="AA127" s="26">
        <v>0</v>
      </c>
      <c r="AB127" s="26">
        <v>0</v>
      </c>
      <c r="AC127" s="26">
        <v>35.2</v>
      </c>
      <c r="AD127" s="26" t="s">
        <v>2805</v>
      </c>
      <c r="AE127" s="26" t="s">
        <v>2805</v>
      </c>
      <c r="AF127" s="26" t="s">
        <v>2805</v>
      </c>
      <c r="AG127" s="26" t="s">
        <v>2806</v>
      </c>
      <c r="AI127" s="26" t="s">
        <v>167</v>
      </c>
      <c r="AJ127" s="26" t="s">
        <v>797</v>
      </c>
      <c r="AK127" s="26" t="s">
        <v>798</v>
      </c>
      <c r="AL127" s="26" t="s">
        <v>2807</v>
      </c>
      <c r="AM127" s="26" t="s">
        <v>2808</v>
      </c>
      <c r="AN127" s="26" t="s">
        <v>172</v>
      </c>
      <c r="AO127" s="26" t="s">
        <v>776</v>
      </c>
      <c r="AP127" s="26" t="s">
        <v>162</v>
      </c>
      <c r="AQ127" s="26" t="s">
        <v>2809</v>
      </c>
      <c r="AR127" s="26" t="s">
        <v>2810</v>
      </c>
      <c r="AS127" s="26" t="s">
        <v>937</v>
      </c>
      <c r="AU127" s="26" t="s">
        <v>2811</v>
      </c>
      <c r="AV127" s="26" t="s">
        <v>150</v>
      </c>
      <c r="AX127" s="26" t="s">
        <v>2812</v>
      </c>
      <c r="AY127" s="26" t="s">
        <v>179</v>
      </c>
      <c r="BC127" s="26" t="s">
        <v>2797</v>
      </c>
      <c r="BD127" s="26" t="s">
        <v>180</v>
      </c>
      <c r="BE127" s="26" t="s">
        <v>181</v>
      </c>
      <c r="BF127" s="26" t="s">
        <v>167</v>
      </c>
      <c r="BH127" s="26" t="s">
        <v>162</v>
      </c>
      <c r="BI127" s="26" t="s">
        <v>807</v>
      </c>
      <c r="BJ127" s="26" t="s">
        <v>2813</v>
      </c>
      <c r="BK127" s="26" t="s">
        <v>184</v>
      </c>
      <c r="BL127" s="26" t="s">
        <v>185</v>
      </c>
      <c r="BM127" s="26" t="s">
        <v>186</v>
      </c>
      <c r="BN127" s="26" t="s">
        <v>162</v>
      </c>
      <c r="BP127" s="26">
        <v>0</v>
      </c>
      <c r="BQ127" s="26" t="s">
        <v>776</v>
      </c>
      <c r="BS127" s="26" t="s">
        <v>354</v>
      </c>
      <c r="BT127" s="26" t="s">
        <v>185</v>
      </c>
      <c r="BV127" s="26">
        <v>26.72</v>
      </c>
      <c r="BW127" s="26">
        <v>0.16</v>
      </c>
      <c r="BZ127" s="26">
        <v>0</v>
      </c>
      <c r="CA127" s="26" t="s">
        <v>189</v>
      </c>
      <c r="CC127" s="26" t="s">
        <v>162</v>
      </c>
      <c r="CD127" s="26">
        <v>0</v>
      </c>
      <c r="CE127" s="26" t="s">
        <v>190</v>
      </c>
      <c r="CF127" s="26" t="s">
        <v>167</v>
      </c>
      <c r="CG127" s="26" t="s">
        <v>2814</v>
      </c>
      <c r="CI127" s="26" t="s">
        <v>267</v>
      </c>
      <c r="CJ127" s="26">
        <v>167</v>
      </c>
      <c r="CK127" s="26">
        <v>0</v>
      </c>
      <c r="CL127" s="26">
        <v>8.35</v>
      </c>
      <c r="CM127" s="26">
        <v>33.9</v>
      </c>
      <c r="CQ127" s="26" t="s">
        <v>437</v>
      </c>
      <c r="CR127" s="26" t="s">
        <v>2815</v>
      </c>
      <c r="CS127" s="26" t="s">
        <v>2816</v>
      </c>
      <c r="CW127" s="26" t="s">
        <v>2817</v>
      </c>
      <c r="CX127" s="26" t="s">
        <v>162</v>
      </c>
      <c r="CY127" s="26" t="s">
        <v>196</v>
      </c>
      <c r="CZ127" s="26">
        <v>0</v>
      </c>
      <c r="DB127" s="26">
        <v>0</v>
      </c>
      <c r="DK127" s="26" t="s">
        <v>150</v>
      </c>
      <c r="DL127" s="26" t="s">
        <v>390</v>
      </c>
      <c r="DM127" s="26" t="s">
        <v>2818</v>
      </c>
      <c r="DN127" s="26" t="s">
        <v>2819</v>
      </c>
      <c r="DO127" s="26" t="s">
        <v>2820</v>
      </c>
      <c r="DP127" s="26" t="s">
        <v>2821</v>
      </c>
      <c r="DR127" s="26" t="s">
        <v>189</v>
      </c>
      <c r="DS127" s="26" t="s">
        <v>189</v>
      </c>
      <c r="DT127" s="26" t="s">
        <v>189</v>
      </c>
      <c r="DU127" s="26" t="s">
        <v>189</v>
      </c>
      <c r="DV127" s="26" t="s">
        <v>203</v>
      </c>
      <c r="DW127" s="26" t="s">
        <v>162</v>
      </c>
      <c r="DX127" s="26" t="s">
        <v>162</v>
      </c>
      <c r="DY127" s="26">
        <v>0</v>
      </c>
      <c r="DZ127" s="26" t="s">
        <v>150</v>
      </c>
      <c r="EH127" s="26" t="s">
        <v>189</v>
      </c>
      <c r="EI127" s="26">
        <v>0.16</v>
      </c>
      <c r="EJ127" s="26">
        <v>26.72</v>
      </c>
      <c r="EK127" s="26">
        <v>33.9</v>
      </c>
      <c r="EL127" s="26" t="s">
        <v>2822</v>
      </c>
      <c r="EM127" s="26" t="s">
        <v>206</v>
      </c>
      <c r="EN127" s="26" t="s">
        <v>207</v>
      </c>
    </row>
    <row r="128" spans="1:144">
      <c r="A128" s="26" t="s">
        <v>145</v>
      </c>
      <c r="B128" s="26" t="s">
        <v>1556</v>
      </c>
      <c r="C128" s="26" t="s">
        <v>2823</v>
      </c>
      <c r="D128" s="26" t="s">
        <v>148</v>
      </c>
      <c r="E128" s="26" t="s">
        <v>149</v>
      </c>
      <c r="F128" s="26" t="s">
        <v>152</v>
      </c>
      <c r="G128" s="26" t="s">
        <v>151</v>
      </c>
      <c r="H128" s="26" t="s">
        <v>152</v>
      </c>
      <c r="I128" s="26" t="s">
        <v>153</v>
      </c>
      <c r="J128" s="26" t="s">
        <v>154</v>
      </c>
      <c r="K128" s="26" t="s">
        <v>244</v>
      </c>
      <c r="L128" s="26" t="s">
        <v>283</v>
      </c>
      <c r="M128" s="26" t="s">
        <v>2824</v>
      </c>
      <c r="N128" s="26" t="s">
        <v>2825</v>
      </c>
      <c r="O128" s="26" t="s">
        <v>2826</v>
      </c>
      <c r="P128" s="26" t="s">
        <v>2827</v>
      </c>
      <c r="Q128" s="26" t="s">
        <v>2828</v>
      </c>
      <c r="R128" s="26">
        <v>238.79504</v>
      </c>
      <c r="S128" s="26" t="s">
        <v>2829</v>
      </c>
      <c r="T128" s="26">
        <v>232.74449</v>
      </c>
      <c r="U128" s="26" t="s">
        <v>217</v>
      </c>
      <c r="V128" s="26" t="s">
        <v>150</v>
      </c>
      <c r="Y128" s="26" t="s">
        <v>2830</v>
      </c>
      <c r="Z128" s="26">
        <v>35.819256</v>
      </c>
      <c r="AA128" s="26">
        <v>0</v>
      </c>
      <c r="AB128" s="26">
        <v>0</v>
      </c>
      <c r="AC128" s="26">
        <v>51</v>
      </c>
      <c r="AD128" s="26" t="s">
        <v>2831</v>
      </c>
      <c r="AE128" s="26" t="s">
        <v>2831</v>
      </c>
      <c r="AF128" s="26" t="s">
        <v>2831</v>
      </c>
      <c r="AG128" s="26" t="s">
        <v>2832</v>
      </c>
      <c r="AH128" s="26" t="s">
        <v>2833</v>
      </c>
      <c r="AI128" s="26" t="s">
        <v>167</v>
      </c>
      <c r="AJ128" s="26" t="s">
        <v>797</v>
      </c>
      <c r="AK128" s="26" t="s">
        <v>798</v>
      </c>
      <c r="AL128" s="26" t="s">
        <v>444</v>
      </c>
      <c r="AM128" s="26" t="s">
        <v>2834</v>
      </c>
      <c r="AN128" s="26" t="s">
        <v>172</v>
      </c>
      <c r="AO128" s="26" t="s">
        <v>1517</v>
      </c>
      <c r="AP128" s="26" t="s">
        <v>162</v>
      </c>
      <c r="AQ128" s="26" t="s">
        <v>2835</v>
      </c>
      <c r="AR128" s="26" t="s">
        <v>2836</v>
      </c>
      <c r="AS128" s="26" t="s">
        <v>1439</v>
      </c>
      <c r="AU128" s="26" t="s">
        <v>2837</v>
      </c>
      <c r="AV128" s="26" t="s">
        <v>150</v>
      </c>
      <c r="AX128" s="26" t="s">
        <v>2838</v>
      </c>
      <c r="AY128" s="26" t="s">
        <v>179</v>
      </c>
      <c r="BC128" s="26" t="s">
        <v>2823</v>
      </c>
      <c r="BD128" s="26" t="s">
        <v>180</v>
      </c>
      <c r="BE128" s="26" t="s">
        <v>181</v>
      </c>
      <c r="BF128" s="26" t="s">
        <v>167</v>
      </c>
      <c r="BH128" s="26" t="s">
        <v>162</v>
      </c>
      <c r="BI128" s="26" t="s">
        <v>807</v>
      </c>
      <c r="BJ128" s="26" t="s">
        <v>2839</v>
      </c>
      <c r="BK128" s="26" t="s">
        <v>184</v>
      </c>
      <c r="BL128" s="26" t="s">
        <v>185</v>
      </c>
      <c r="BM128" s="26" t="s">
        <v>186</v>
      </c>
      <c r="BN128" s="26" t="s">
        <v>162</v>
      </c>
      <c r="BP128" s="26">
        <v>0</v>
      </c>
      <c r="BR128" s="26" t="s">
        <v>801</v>
      </c>
      <c r="BS128" s="26" t="s">
        <v>354</v>
      </c>
      <c r="BT128" s="26" t="s">
        <v>185</v>
      </c>
      <c r="BV128" s="26">
        <v>38.208</v>
      </c>
      <c r="BW128" s="26">
        <v>0.16</v>
      </c>
      <c r="BZ128" s="26">
        <v>0</v>
      </c>
      <c r="CA128" s="26" t="s">
        <v>189</v>
      </c>
      <c r="CC128" s="26" t="s">
        <v>162</v>
      </c>
      <c r="CD128" s="26">
        <v>0</v>
      </c>
      <c r="CE128" s="26" t="s">
        <v>190</v>
      </c>
      <c r="CF128" s="26" t="s">
        <v>167</v>
      </c>
      <c r="CG128" s="26" t="s">
        <v>2840</v>
      </c>
      <c r="CI128" s="26" t="s">
        <v>267</v>
      </c>
      <c r="CJ128" s="26">
        <v>238.8</v>
      </c>
      <c r="CK128" s="26">
        <v>0</v>
      </c>
      <c r="CL128" s="26">
        <v>11.94</v>
      </c>
      <c r="CM128" s="26">
        <v>42.63</v>
      </c>
      <c r="CQ128" s="26" t="s">
        <v>605</v>
      </c>
      <c r="CR128" s="26" t="s">
        <v>2841</v>
      </c>
      <c r="CS128" s="26" t="s">
        <v>2842</v>
      </c>
      <c r="CW128" s="26" t="s">
        <v>2843</v>
      </c>
      <c r="CX128" s="26" t="s">
        <v>162</v>
      </c>
      <c r="CY128" s="26" t="s">
        <v>196</v>
      </c>
      <c r="CZ128" s="26">
        <v>0</v>
      </c>
      <c r="DB128" s="26">
        <v>0</v>
      </c>
      <c r="DK128" s="26" t="s">
        <v>150</v>
      </c>
      <c r="DL128" s="26" t="s">
        <v>581</v>
      </c>
      <c r="DM128" s="26" t="s">
        <v>2844</v>
      </c>
      <c r="DN128" s="26" t="s">
        <v>2845</v>
      </c>
      <c r="DO128" s="26" t="s">
        <v>2820</v>
      </c>
      <c r="DP128" s="26" t="s">
        <v>2846</v>
      </c>
      <c r="DR128" s="26" t="s">
        <v>189</v>
      </c>
      <c r="DS128" s="26" t="s">
        <v>189</v>
      </c>
      <c r="DT128" s="26" t="s">
        <v>189</v>
      </c>
      <c r="DU128" s="26" t="s">
        <v>189</v>
      </c>
      <c r="DV128" s="26" t="s">
        <v>203</v>
      </c>
      <c r="DW128" s="26" t="s">
        <v>162</v>
      </c>
      <c r="DX128" s="26" t="s">
        <v>162</v>
      </c>
      <c r="DY128" s="26">
        <v>0</v>
      </c>
      <c r="DZ128" s="26" t="s">
        <v>150</v>
      </c>
      <c r="EH128" s="26" t="s">
        <v>189</v>
      </c>
      <c r="EI128" s="26">
        <v>0.16</v>
      </c>
      <c r="EJ128" s="26">
        <v>38.208</v>
      </c>
      <c r="EK128" s="26">
        <v>42.63</v>
      </c>
      <c r="EL128" s="26" t="s">
        <v>2847</v>
      </c>
      <c r="EM128" s="26" t="s">
        <v>206</v>
      </c>
      <c r="EN128" s="26" t="s">
        <v>207</v>
      </c>
    </row>
    <row r="129" spans="1:144">
      <c r="A129" s="26" t="s">
        <v>145</v>
      </c>
      <c r="B129" s="26" t="s">
        <v>1556</v>
      </c>
      <c r="C129" s="26" t="s">
        <v>2848</v>
      </c>
      <c r="D129" s="26" t="s">
        <v>148</v>
      </c>
      <c r="E129" s="26" t="s">
        <v>149</v>
      </c>
      <c r="F129" s="26" t="s">
        <v>152</v>
      </c>
      <c r="G129" s="26" t="s">
        <v>151</v>
      </c>
      <c r="H129" s="26" t="s">
        <v>152</v>
      </c>
      <c r="I129" s="26" t="s">
        <v>153</v>
      </c>
      <c r="J129" s="26" t="s">
        <v>154</v>
      </c>
      <c r="K129" s="26" t="s">
        <v>989</v>
      </c>
      <c r="L129" s="26" t="s">
        <v>990</v>
      </c>
      <c r="M129" s="26" t="s">
        <v>2849</v>
      </c>
      <c r="N129" s="26" t="s">
        <v>2850</v>
      </c>
      <c r="O129" s="26" t="s">
        <v>2851</v>
      </c>
      <c r="P129" s="26" t="s">
        <v>2852</v>
      </c>
      <c r="Q129" s="26" t="s">
        <v>2853</v>
      </c>
      <c r="R129" s="26">
        <v>72.20323</v>
      </c>
      <c r="S129" s="26" t="s">
        <v>2854</v>
      </c>
      <c r="T129" s="26">
        <v>66.15268</v>
      </c>
      <c r="U129" s="26" t="s">
        <v>217</v>
      </c>
      <c r="V129" s="26" t="s">
        <v>150</v>
      </c>
      <c r="Y129" s="26" t="s">
        <v>2855</v>
      </c>
      <c r="Z129" s="26">
        <v>10.8304845</v>
      </c>
      <c r="AA129" s="26">
        <v>0</v>
      </c>
      <c r="AB129" s="26">
        <v>0</v>
      </c>
      <c r="AC129" s="26">
        <v>13.11</v>
      </c>
      <c r="AD129" s="26" t="s">
        <v>2856</v>
      </c>
      <c r="AE129" s="26" t="s">
        <v>2856</v>
      </c>
      <c r="AF129" s="26" t="s">
        <v>2856</v>
      </c>
      <c r="AG129" s="26" t="s">
        <v>2857</v>
      </c>
      <c r="AH129" s="26" t="s">
        <v>1236</v>
      </c>
      <c r="AI129" s="26" t="s">
        <v>167</v>
      </c>
      <c r="AJ129" s="26" t="s">
        <v>797</v>
      </c>
      <c r="AK129" s="26" t="s">
        <v>798</v>
      </c>
      <c r="AL129" s="26" t="s">
        <v>2858</v>
      </c>
      <c r="AM129" s="26" t="s">
        <v>2859</v>
      </c>
      <c r="AN129" s="26" t="s">
        <v>172</v>
      </c>
      <c r="AO129" s="26" t="s">
        <v>2860</v>
      </c>
      <c r="AP129" s="26" t="s">
        <v>162</v>
      </c>
      <c r="AQ129" s="26" t="s">
        <v>2861</v>
      </c>
      <c r="AR129" s="26" t="s">
        <v>2862</v>
      </c>
      <c r="AS129" s="26" t="s">
        <v>2863</v>
      </c>
      <c r="AU129" s="26" t="s">
        <v>2864</v>
      </c>
      <c r="AV129" s="26" t="s">
        <v>150</v>
      </c>
      <c r="AX129" s="26" t="s">
        <v>2865</v>
      </c>
      <c r="AY129" s="26" t="s">
        <v>179</v>
      </c>
      <c r="BC129" s="26" t="s">
        <v>2848</v>
      </c>
      <c r="BD129" s="26" t="s">
        <v>180</v>
      </c>
      <c r="BE129" s="26" t="s">
        <v>1007</v>
      </c>
      <c r="BF129" s="26" t="s">
        <v>167</v>
      </c>
      <c r="BH129" s="26" t="s">
        <v>162</v>
      </c>
      <c r="BI129" s="26" t="s">
        <v>807</v>
      </c>
      <c r="BJ129" s="26" t="s">
        <v>2866</v>
      </c>
      <c r="BK129" s="26" t="s">
        <v>184</v>
      </c>
      <c r="BL129" s="26" t="s">
        <v>185</v>
      </c>
      <c r="BM129" s="26" t="s">
        <v>186</v>
      </c>
      <c r="BN129" s="26" t="s">
        <v>162</v>
      </c>
      <c r="BP129" s="26">
        <v>0</v>
      </c>
      <c r="BQ129" s="26" t="s">
        <v>666</v>
      </c>
      <c r="BR129" s="26" t="s">
        <v>2867</v>
      </c>
      <c r="BS129" s="26" t="s">
        <v>230</v>
      </c>
      <c r="BT129" s="26" t="s">
        <v>185</v>
      </c>
      <c r="BV129" s="26">
        <v>4.332</v>
      </c>
      <c r="BW129" s="26">
        <v>0.06</v>
      </c>
      <c r="BZ129" s="26">
        <v>0</v>
      </c>
      <c r="CA129" s="26" t="s">
        <v>189</v>
      </c>
      <c r="CC129" s="26" t="s">
        <v>162</v>
      </c>
      <c r="CD129" s="26">
        <v>0</v>
      </c>
      <c r="CE129" s="26" t="s">
        <v>190</v>
      </c>
      <c r="CF129" s="26" t="s">
        <v>167</v>
      </c>
      <c r="CG129" s="26" t="s">
        <v>2868</v>
      </c>
      <c r="CI129" s="26" t="s">
        <v>1009</v>
      </c>
      <c r="CJ129" s="26">
        <v>72.2</v>
      </c>
      <c r="CK129" s="26">
        <v>0</v>
      </c>
      <c r="CL129" s="26">
        <v>3.61</v>
      </c>
      <c r="CM129" s="26">
        <v>13.93</v>
      </c>
      <c r="CQ129" s="26" t="s">
        <v>437</v>
      </c>
      <c r="CR129" s="26" t="s">
        <v>2869</v>
      </c>
      <c r="CS129" s="26" t="s">
        <v>2870</v>
      </c>
      <c r="CW129" s="26" t="s">
        <v>2871</v>
      </c>
      <c r="CX129" s="26" t="s">
        <v>162</v>
      </c>
      <c r="CY129" s="26" t="s">
        <v>196</v>
      </c>
      <c r="CZ129" s="26">
        <v>0</v>
      </c>
      <c r="DB129" s="26">
        <v>0</v>
      </c>
      <c r="DK129" s="26" t="s">
        <v>150</v>
      </c>
      <c r="DL129" s="26" t="s">
        <v>542</v>
      </c>
      <c r="DM129" s="26" t="s">
        <v>2872</v>
      </c>
      <c r="DN129" s="26" t="s">
        <v>2873</v>
      </c>
      <c r="DO129" s="26" t="s">
        <v>2874</v>
      </c>
      <c r="DP129" s="26" t="s">
        <v>2875</v>
      </c>
      <c r="DR129" s="26" t="s">
        <v>189</v>
      </c>
      <c r="DS129" s="26" t="s">
        <v>189</v>
      </c>
      <c r="DT129" s="26" t="s">
        <v>189</v>
      </c>
      <c r="DU129" s="26" t="s">
        <v>189</v>
      </c>
      <c r="DV129" s="26" t="s">
        <v>203</v>
      </c>
      <c r="DW129" s="26" t="s">
        <v>162</v>
      </c>
      <c r="DX129" s="26" t="s">
        <v>162</v>
      </c>
      <c r="DY129" s="26">
        <v>0</v>
      </c>
      <c r="DZ129" s="26" t="s">
        <v>150</v>
      </c>
      <c r="EH129" s="26" t="s">
        <v>189</v>
      </c>
      <c r="EI129" s="26">
        <v>0.06</v>
      </c>
      <c r="EJ129" s="26">
        <v>4.332</v>
      </c>
      <c r="EK129" s="26">
        <v>13.93</v>
      </c>
      <c r="EL129" s="26" t="s">
        <v>2876</v>
      </c>
      <c r="EM129" s="26" t="s">
        <v>206</v>
      </c>
      <c r="EN129" s="26" t="s">
        <v>207</v>
      </c>
    </row>
    <row r="130" spans="1:144">
      <c r="A130" s="26" t="s">
        <v>145</v>
      </c>
      <c r="B130" s="26" t="s">
        <v>1556</v>
      </c>
      <c r="C130" s="26" t="s">
        <v>2877</v>
      </c>
      <c r="D130" s="26" t="s">
        <v>148</v>
      </c>
      <c r="E130" s="26" t="s">
        <v>149</v>
      </c>
      <c r="F130" s="26" t="s">
        <v>152</v>
      </c>
      <c r="G130" s="26" t="s">
        <v>151</v>
      </c>
      <c r="H130" s="26" t="s">
        <v>152</v>
      </c>
      <c r="I130" s="26" t="s">
        <v>153</v>
      </c>
      <c r="J130" s="26" t="s">
        <v>154</v>
      </c>
      <c r="K130" s="26" t="s">
        <v>1075</v>
      </c>
      <c r="L130" s="26" t="s">
        <v>2426</v>
      </c>
      <c r="M130" s="26" t="s">
        <v>2878</v>
      </c>
      <c r="N130" s="26" t="s">
        <v>2879</v>
      </c>
      <c r="O130" s="26" t="s">
        <v>2880</v>
      </c>
      <c r="P130" s="26" t="s">
        <v>2881</v>
      </c>
      <c r="Q130" s="26" t="s">
        <v>570</v>
      </c>
      <c r="R130" s="26">
        <v>153.2806</v>
      </c>
      <c r="S130" s="26" t="s">
        <v>2882</v>
      </c>
      <c r="T130" s="26">
        <v>75.02682</v>
      </c>
      <c r="U130" s="26" t="s">
        <v>217</v>
      </c>
      <c r="V130" s="26" t="s">
        <v>150</v>
      </c>
      <c r="Y130" s="26" t="s">
        <v>2883</v>
      </c>
      <c r="Z130" s="26">
        <v>11.496045</v>
      </c>
      <c r="AA130" s="26">
        <v>0</v>
      </c>
      <c r="AB130" s="26">
        <v>0</v>
      </c>
      <c r="AC130" s="26">
        <v>14</v>
      </c>
      <c r="AD130" s="26" t="s">
        <v>1211</v>
      </c>
      <c r="AE130" s="26" t="s">
        <v>1211</v>
      </c>
      <c r="AF130" s="26" t="s">
        <v>1211</v>
      </c>
      <c r="AG130" s="26" t="s">
        <v>2884</v>
      </c>
      <c r="AI130" s="26" t="s">
        <v>167</v>
      </c>
      <c r="AJ130" s="26" t="s">
        <v>168</v>
      </c>
      <c r="AK130" s="26" t="s">
        <v>169</v>
      </c>
      <c r="AL130" s="26" t="s">
        <v>2605</v>
      </c>
      <c r="AM130" s="26" t="s">
        <v>754</v>
      </c>
      <c r="AN130" s="26" t="s">
        <v>172</v>
      </c>
      <c r="AO130" s="26" t="s">
        <v>2094</v>
      </c>
      <c r="AP130" s="26" t="s">
        <v>162</v>
      </c>
      <c r="AQ130" s="26" t="s">
        <v>2885</v>
      </c>
      <c r="AR130" s="26" t="s">
        <v>2886</v>
      </c>
      <c r="AS130" s="26" t="s">
        <v>1343</v>
      </c>
      <c r="AU130" s="26" t="s">
        <v>2887</v>
      </c>
      <c r="AV130" s="26" t="s">
        <v>2887</v>
      </c>
      <c r="AX130" s="26" t="s">
        <v>2888</v>
      </c>
      <c r="AY130" s="26" t="s">
        <v>179</v>
      </c>
      <c r="BC130" s="26" t="s">
        <v>2877</v>
      </c>
      <c r="BD130" s="26" t="s">
        <v>180</v>
      </c>
      <c r="BE130" s="26" t="s">
        <v>1007</v>
      </c>
      <c r="BF130" s="26" t="s">
        <v>167</v>
      </c>
      <c r="BH130" s="26" t="s">
        <v>162</v>
      </c>
      <c r="BI130" s="26" t="s">
        <v>182</v>
      </c>
      <c r="BJ130" s="26" t="s">
        <v>486</v>
      </c>
      <c r="BK130" s="26" t="s">
        <v>264</v>
      </c>
      <c r="BL130" s="26" t="s">
        <v>185</v>
      </c>
      <c r="BM130" s="26" t="s">
        <v>186</v>
      </c>
      <c r="BN130" s="26" t="s">
        <v>162</v>
      </c>
      <c r="BP130" s="26">
        <v>0</v>
      </c>
      <c r="BQ130" s="26" t="s">
        <v>2094</v>
      </c>
      <c r="BS130" s="26" t="s">
        <v>230</v>
      </c>
      <c r="BT130" s="26" t="s">
        <v>185</v>
      </c>
      <c r="BV130" s="26">
        <v>11.3512</v>
      </c>
      <c r="BW130" s="26">
        <v>0.14</v>
      </c>
      <c r="BZ130" s="26">
        <v>0</v>
      </c>
      <c r="CA130" s="26" t="s">
        <v>189</v>
      </c>
      <c r="CC130" s="26" t="s">
        <v>162</v>
      </c>
      <c r="CD130" s="26">
        <v>0</v>
      </c>
      <c r="CE130" s="26" t="s">
        <v>190</v>
      </c>
      <c r="CF130" s="26" t="s">
        <v>167</v>
      </c>
      <c r="CG130" s="26" t="s">
        <v>2889</v>
      </c>
      <c r="CI130" s="26" t="s">
        <v>1095</v>
      </c>
      <c r="CJ130" s="26">
        <v>81.08</v>
      </c>
      <c r="CK130" s="26">
        <v>0</v>
      </c>
      <c r="CL130" s="26">
        <v>4.05</v>
      </c>
      <c r="CM130" s="26">
        <v>15.87</v>
      </c>
      <c r="CQ130" s="26" t="s">
        <v>437</v>
      </c>
      <c r="CR130" s="26" t="s">
        <v>2890</v>
      </c>
      <c r="CS130" s="26" t="s">
        <v>2891</v>
      </c>
      <c r="CW130" s="26" t="s">
        <v>2892</v>
      </c>
      <c r="CX130" s="26" t="s">
        <v>305</v>
      </c>
      <c r="CY130" s="26" t="s">
        <v>196</v>
      </c>
      <c r="CZ130" s="26">
        <v>0</v>
      </c>
      <c r="DB130" s="26">
        <v>0</v>
      </c>
      <c r="DK130" s="26" t="s">
        <v>150</v>
      </c>
      <c r="DL130" s="26" t="s">
        <v>542</v>
      </c>
      <c r="DM130" s="26" t="s">
        <v>2893</v>
      </c>
      <c r="DN130" s="26" t="s">
        <v>2894</v>
      </c>
      <c r="DO130" s="26" t="s">
        <v>2895</v>
      </c>
      <c r="DP130" s="26" t="s">
        <v>2896</v>
      </c>
      <c r="DR130" s="26" t="s">
        <v>189</v>
      </c>
      <c r="DS130" s="26" t="s">
        <v>189</v>
      </c>
      <c r="DT130" s="26" t="s">
        <v>189</v>
      </c>
      <c r="DU130" s="26" t="s">
        <v>189</v>
      </c>
      <c r="DV130" s="26" t="s">
        <v>203</v>
      </c>
      <c r="DW130" s="26" t="s">
        <v>162</v>
      </c>
      <c r="DX130" s="26" t="s">
        <v>162</v>
      </c>
      <c r="DY130" s="26">
        <v>0</v>
      </c>
      <c r="DZ130" s="26" t="s">
        <v>150</v>
      </c>
      <c r="EH130" s="26" t="s">
        <v>189</v>
      </c>
      <c r="EI130" s="26">
        <v>0.14</v>
      </c>
      <c r="EJ130" s="26">
        <v>11.3512</v>
      </c>
      <c r="EK130" s="26">
        <v>15.87</v>
      </c>
      <c r="EL130" s="26" t="s">
        <v>2897</v>
      </c>
      <c r="EM130" s="26" t="s">
        <v>206</v>
      </c>
      <c r="EN130" s="26" t="s">
        <v>207</v>
      </c>
    </row>
    <row r="131" spans="1:144">
      <c r="A131" s="26" t="s">
        <v>145</v>
      </c>
      <c r="B131" s="26" t="s">
        <v>1556</v>
      </c>
      <c r="C131" s="26" t="s">
        <v>2877</v>
      </c>
      <c r="D131" s="26" t="s">
        <v>148</v>
      </c>
      <c r="E131" s="26" t="s">
        <v>149</v>
      </c>
      <c r="F131" s="26" t="s">
        <v>152</v>
      </c>
      <c r="G131" s="26" t="s">
        <v>151</v>
      </c>
      <c r="H131" s="26" t="s">
        <v>152</v>
      </c>
      <c r="I131" s="26" t="s">
        <v>153</v>
      </c>
      <c r="J131" s="26" t="s">
        <v>154</v>
      </c>
      <c r="K131" s="26" t="s">
        <v>1075</v>
      </c>
      <c r="L131" s="26" t="s">
        <v>2186</v>
      </c>
      <c r="M131" s="26" t="s">
        <v>2878</v>
      </c>
      <c r="O131" s="26" t="s">
        <v>2898</v>
      </c>
      <c r="P131" s="26" t="s">
        <v>2899</v>
      </c>
      <c r="S131" s="26" t="s">
        <v>2854</v>
      </c>
      <c r="T131" s="26">
        <v>66.15268</v>
      </c>
      <c r="U131" s="26" t="s">
        <v>217</v>
      </c>
      <c r="V131" s="26" t="s">
        <v>150</v>
      </c>
      <c r="Y131" s="26" t="s">
        <v>2883</v>
      </c>
      <c r="Z131" s="26">
        <v>11.496045</v>
      </c>
      <c r="AA131" s="26">
        <v>0</v>
      </c>
      <c r="AB131" s="26">
        <v>0</v>
      </c>
      <c r="AC131" s="26">
        <v>4.5</v>
      </c>
      <c r="AD131" s="26" t="s">
        <v>2900</v>
      </c>
      <c r="AE131" s="26" t="s">
        <v>2900</v>
      </c>
      <c r="AF131" s="26" t="s">
        <v>2900</v>
      </c>
      <c r="AG131" s="26" t="s">
        <v>2901</v>
      </c>
      <c r="AI131" s="26" t="s">
        <v>167</v>
      </c>
      <c r="AJ131" s="26" t="s">
        <v>168</v>
      </c>
      <c r="AK131" s="26" t="s">
        <v>169</v>
      </c>
      <c r="AM131" s="26" t="s">
        <v>2181</v>
      </c>
      <c r="AN131" s="26" t="s">
        <v>172</v>
      </c>
      <c r="AO131" s="26" t="s">
        <v>2198</v>
      </c>
      <c r="AP131" s="26" t="s">
        <v>162</v>
      </c>
      <c r="AQ131" s="26" t="s">
        <v>2885</v>
      </c>
      <c r="AR131" s="26" t="s">
        <v>2886</v>
      </c>
      <c r="AS131" s="26" t="s">
        <v>2902</v>
      </c>
      <c r="AT131" s="26" t="s">
        <v>470</v>
      </c>
      <c r="AU131" s="26" t="s">
        <v>2887</v>
      </c>
      <c r="AV131" s="26" t="s">
        <v>2887</v>
      </c>
      <c r="AX131" s="26" t="s">
        <v>2903</v>
      </c>
      <c r="AY131" s="26" t="s">
        <v>179</v>
      </c>
      <c r="BC131" s="26" t="s">
        <v>2877</v>
      </c>
      <c r="BD131" s="26" t="s">
        <v>180</v>
      </c>
      <c r="BE131" s="26" t="s">
        <v>1007</v>
      </c>
      <c r="BF131" s="26" t="s">
        <v>167</v>
      </c>
      <c r="BH131" s="26" t="s">
        <v>162</v>
      </c>
      <c r="BI131" s="26" t="s">
        <v>182</v>
      </c>
      <c r="BJ131" s="26" t="s">
        <v>2904</v>
      </c>
      <c r="BK131" s="26" t="s">
        <v>264</v>
      </c>
      <c r="BL131" s="26" t="s">
        <v>185</v>
      </c>
      <c r="BM131" s="26" t="s">
        <v>186</v>
      </c>
      <c r="BN131" s="26" t="s">
        <v>162</v>
      </c>
      <c r="BP131" s="26">
        <v>0</v>
      </c>
      <c r="BQ131" s="26" t="s">
        <v>494</v>
      </c>
      <c r="BS131" s="26" t="s">
        <v>230</v>
      </c>
      <c r="BT131" s="26" t="s">
        <v>185</v>
      </c>
      <c r="BV131" s="26">
        <v>10.108</v>
      </c>
      <c r="BW131" s="26">
        <v>0.14</v>
      </c>
      <c r="BZ131" s="26">
        <v>0</v>
      </c>
      <c r="CA131" s="26" t="s">
        <v>189</v>
      </c>
      <c r="CC131" s="26" t="s">
        <v>162</v>
      </c>
      <c r="CD131" s="26">
        <v>0</v>
      </c>
      <c r="CE131" s="26" t="s">
        <v>190</v>
      </c>
      <c r="CF131" s="26" t="s">
        <v>195</v>
      </c>
      <c r="CG131" s="26" t="s">
        <v>2905</v>
      </c>
      <c r="CI131" s="26" t="s">
        <v>1095</v>
      </c>
      <c r="CJ131" s="26">
        <v>72.2</v>
      </c>
      <c r="CK131" s="26">
        <v>0</v>
      </c>
      <c r="CL131" s="26">
        <v>3.61</v>
      </c>
      <c r="CM131" s="26">
        <v>25.36</v>
      </c>
      <c r="CQ131" s="26" t="s">
        <v>192</v>
      </c>
      <c r="CR131" s="26" t="s">
        <v>2890</v>
      </c>
      <c r="CS131" s="26" t="s">
        <v>2891</v>
      </c>
      <c r="CW131" s="26" t="s">
        <v>2906</v>
      </c>
      <c r="CX131" s="26" t="s">
        <v>162</v>
      </c>
      <c r="CY131" s="26" t="s">
        <v>196</v>
      </c>
      <c r="CZ131" s="26">
        <v>0</v>
      </c>
      <c r="DB131" s="26">
        <v>0</v>
      </c>
      <c r="DK131" s="26" t="s">
        <v>150</v>
      </c>
      <c r="DL131" s="26" t="s">
        <v>542</v>
      </c>
      <c r="DM131" s="26" t="s">
        <v>2893</v>
      </c>
      <c r="DN131" s="26" t="s">
        <v>2894</v>
      </c>
      <c r="DO131" s="26" t="s">
        <v>2895</v>
      </c>
      <c r="DP131" s="26" t="s">
        <v>2896</v>
      </c>
      <c r="DR131" s="26" t="s">
        <v>189</v>
      </c>
      <c r="DS131" s="26" t="s">
        <v>189</v>
      </c>
      <c r="DT131" s="26" t="s">
        <v>189</v>
      </c>
      <c r="DU131" s="26" t="s">
        <v>189</v>
      </c>
      <c r="DV131" s="26" t="s">
        <v>203</v>
      </c>
      <c r="DW131" s="26" t="s">
        <v>162</v>
      </c>
      <c r="DX131" s="26" t="s">
        <v>162</v>
      </c>
      <c r="DY131" s="26">
        <v>0</v>
      </c>
      <c r="DZ131" s="26" t="s">
        <v>150</v>
      </c>
      <c r="EA131" s="26" t="s">
        <v>470</v>
      </c>
      <c r="EB131" s="26" t="s">
        <v>471</v>
      </c>
      <c r="EH131" s="26" t="s">
        <v>189</v>
      </c>
      <c r="EI131" s="26">
        <v>0.14</v>
      </c>
      <c r="EJ131" s="26">
        <v>10.108</v>
      </c>
      <c r="EK131" s="26">
        <v>25.36</v>
      </c>
      <c r="EL131" s="26" t="s">
        <v>2907</v>
      </c>
      <c r="EM131" s="26" t="s">
        <v>206</v>
      </c>
      <c r="EN131" s="26" t="s">
        <v>207</v>
      </c>
    </row>
    <row r="132" spans="1:144">
      <c r="A132" s="26" t="s">
        <v>145</v>
      </c>
      <c r="B132" s="26" t="s">
        <v>1556</v>
      </c>
      <c r="C132" s="26" t="s">
        <v>2908</v>
      </c>
      <c r="D132" s="26" t="s">
        <v>148</v>
      </c>
      <c r="E132" s="26" t="s">
        <v>149</v>
      </c>
      <c r="F132" s="26" t="s">
        <v>152</v>
      </c>
      <c r="G132" s="26" t="s">
        <v>151</v>
      </c>
      <c r="H132" s="26" t="s">
        <v>152</v>
      </c>
      <c r="I132" s="26" t="s">
        <v>153</v>
      </c>
      <c r="J132" s="26" t="s">
        <v>154</v>
      </c>
      <c r="K132" s="26" t="s">
        <v>209</v>
      </c>
      <c r="L132" s="26" t="s">
        <v>210</v>
      </c>
      <c r="M132" s="26" t="s">
        <v>2909</v>
      </c>
      <c r="N132" s="26" t="s">
        <v>2910</v>
      </c>
      <c r="O132" s="26" t="s">
        <v>2911</v>
      </c>
      <c r="P132" s="26" t="s">
        <v>2912</v>
      </c>
      <c r="Q132" s="26" t="s">
        <v>510</v>
      </c>
      <c r="R132" s="26">
        <v>140.37276</v>
      </c>
      <c r="S132" s="26" t="s">
        <v>2913</v>
      </c>
      <c r="T132" s="26">
        <v>134.32221</v>
      </c>
      <c r="U132" s="26" t="s">
        <v>217</v>
      </c>
      <c r="V132" s="26" t="s">
        <v>150</v>
      </c>
      <c r="Y132" s="26" t="s">
        <v>2914</v>
      </c>
      <c r="Z132" s="26">
        <v>21.055914</v>
      </c>
      <c r="AA132" s="26">
        <v>0</v>
      </c>
      <c r="AB132" s="26">
        <v>0</v>
      </c>
      <c r="AC132" s="26">
        <v>21</v>
      </c>
      <c r="AD132" s="26" t="s">
        <v>2138</v>
      </c>
      <c r="AE132" s="26" t="s">
        <v>2138</v>
      </c>
      <c r="AF132" s="26" t="s">
        <v>2138</v>
      </c>
      <c r="AG132" s="26" t="s">
        <v>2352</v>
      </c>
      <c r="AI132" s="26" t="s">
        <v>167</v>
      </c>
      <c r="AJ132" s="26" t="s">
        <v>168</v>
      </c>
      <c r="AK132" s="26" t="s">
        <v>169</v>
      </c>
      <c r="AL132" s="26" t="s">
        <v>1187</v>
      </c>
      <c r="AM132" s="26" t="s">
        <v>984</v>
      </c>
      <c r="AN132" s="26" t="s">
        <v>172</v>
      </c>
      <c r="AO132" s="26" t="s">
        <v>1189</v>
      </c>
      <c r="AP132" s="26" t="s">
        <v>167</v>
      </c>
      <c r="AQ132" s="26" t="s">
        <v>2915</v>
      </c>
      <c r="AR132" s="26" t="s">
        <v>2916</v>
      </c>
      <c r="AS132" s="26" t="s">
        <v>937</v>
      </c>
      <c r="AU132" s="26" t="s">
        <v>2917</v>
      </c>
      <c r="AV132" s="26" t="s">
        <v>2917</v>
      </c>
      <c r="AX132" s="26" t="s">
        <v>2918</v>
      </c>
      <c r="AY132" s="26" t="s">
        <v>179</v>
      </c>
      <c r="BC132" s="26" t="s">
        <v>2908</v>
      </c>
      <c r="BD132" s="26" t="s">
        <v>180</v>
      </c>
      <c r="BE132" s="26" t="s">
        <v>181</v>
      </c>
      <c r="BF132" s="26" t="s">
        <v>167</v>
      </c>
      <c r="BH132" s="26" t="s">
        <v>162</v>
      </c>
      <c r="BI132" s="26" t="s">
        <v>182</v>
      </c>
      <c r="BJ132" s="26" t="s">
        <v>833</v>
      </c>
      <c r="BK132" s="26" t="s">
        <v>184</v>
      </c>
      <c r="BL132" s="26" t="s">
        <v>185</v>
      </c>
      <c r="BM132" s="26" t="s">
        <v>186</v>
      </c>
      <c r="BN132" s="26" t="s">
        <v>162</v>
      </c>
      <c r="BP132" s="26">
        <v>0</v>
      </c>
      <c r="BQ132" s="26" t="s">
        <v>666</v>
      </c>
      <c r="BS132" s="26" t="s">
        <v>230</v>
      </c>
      <c r="BT132" s="26" t="s">
        <v>185</v>
      </c>
      <c r="BV132" s="26">
        <v>19.6518</v>
      </c>
      <c r="BW132" s="26">
        <v>0.14</v>
      </c>
      <c r="BZ132" s="26">
        <v>0</v>
      </c>
      <c r="CA132" s="26" t="s">
        <v>189</v>
      </c>
      <c r="CC132" s="26" t="s">
        <v>162</v>
      </c>
      <c r="CD132" s="26">
        <v>0</v>
      </c>
      <c r="CE132" s="26" t="s">
        <v>190</v>
      </c>
      <c r="CF132" s="26" t="s">
        <v>167</v>
      </c>
      <c r="CG132" s="26" t="s">
        <v>2919</v>
      </c>
      <c r="CI132" s="26" t="s">
        <v>232</v>
      </c>
      <c r="CJ132" s="26">
        <v>140.37</v>
      </c>
      <c r="CK132" s="26">
        <v>0</v>
      </c>
      <c r="CL132" s="26">
        <v>7.02</v>
      </c>
      <c r="CM132" s="26">
        <v>20.68</v>
      </c>
      <c r="CQ132" s="26" t="s">
        <v>437</v>
      </c>
      <c r="CR132" s="26" t="s">
        <v>1196</v>
      </c>
      <c r="CS132" s="26" t="s">
        <v>2920</v>
      </c>
      <c r="CW132" s="26" t="s">
        <v>2921</v>
      </c>
      <c r="CX132" s="26" t="s">
        <v>162</v>
      </c>
      <c r="CY132" s="26" t="s">
        <v>196</v>
      </c>
      <c r="CZ132" s="26">
        <v>0</v>
      </c>
      <c r="DB132" s="26">
        <v>0</v>
      </c>
      <c r="DK132" s="26" t="s">
        <v>150</v>
      </c>
      <c r="DL132" s="26" t="s">
        <v>237</v>
      </c>
      <c r="DM132" s="26" t="s">
        <v>2922</v>
      </c>
      <c r="DN132" s="26" t="s">
        <v>2923</v>
      </c>
      <c r="DO132" s="26" t="s">
        <v>2924</v>
      </c>
      <c r="DP132" s="26" t="s">
        <v>2925</v>
      </c>
      <c r="DR132" s="26" t="s">
        <v>189</v>
      </c>
      <c r="DS132" s="26" t="s">
        <v>189</v>
      </c>
      <c r="DT132" s="26" t="s">
        <v>189</v>
      </c>
      <c r="DU132" s="26" t="s">
        <v>189</v>
      </c>
      <c r="DV132" s="26" t="s">
        <v>203</v>
      </c>
      <c r="DW132" s="26" t="s">
        <v>162</v>
      </c>
      <c r="DX132" s="26" t="s">
        <v>162</v>
      </c>
      <c r="DY132" s="26">
        <v>0</v>
      </c>
      <c r="DZ132" s="26" t="s">
        <v>150</v>
      </c>
      <c r="EH132" s="26" t="s">
        <v>189</v>
      </c>
      <c r="EI132" s="26">
        <v>0.14</v>
      </c>
      <c r="EJ132" s="26">
        <v>19.6518</v>
      </c>
      <c r="EK132" s="26">
        <v>20.68</v>
      </c>
      <c r="EL132" s="26" t="s">
        <v>2926</v>
      </c>
      <c r="EM132" s="26" t="s">
        <v>206</v>
      </c>
      <c r="EN132" s="26" t="s">
        <v>207</v>
      </c>
    </row>
    <row r="133" spans="1:144">
      <c r="A133" s="26" t="s">
        <v>145</v>
      </c>
      <c r="B133" s="26" t="s">
        <v>1556</v>
      </c>
      <c r="C133" s="26" t="s">
        <v>2927</v>
      </c>
      <c r="D133" s="26" t="s">
        <v>148</v>
      </c>
      <c r="E133" s="26" t="s">
        <v>149</v>
      </c>
      <c r="F133" s="26" t="s">
        <v>152</v>
      </c>
      <c r="G133" s="26" t="s">
        <v>151</v>
      </c>
      <c r="H133" s="26" t="s">
        <v>152</v>
      </c>
      <c r="I133" s="26" t="s">
        <v>153</v>
      </c>
      <c r="J133" s="26" t="s">
        <v>154</v>
      </c>
      <c r="K133" s="26" t="s">
        <v>244</v>
      </c>
      <c r="L133" s="26" t="s">
        <v>283</v>
      </c>
      <c r="M133" s="26" t="s">
        <v>2928</v>
      </c>
      <c r="N133" s="26" t="s">
        <v>2929</v>
      </c>
      <c r="O133" s="26" t="s">
        <v>2930</v>
      </c>
      <c r="P133" s="26" t="s">
        <v>2931</v>
      </c>
      <c r="Q133" s="26" t="s">
        <v>653</v>
      </c>
      <c r="R133" s="26">
        <v>223.46698</v>
      </c>
      <c r="S133" s="26" t="s">
        <v>654</v>
      </c>
      <c r="T133" s="26">
        <v>217.41643</v>
      </c>
      <c r="U133" s="26" t="s">
        <v>217</v>
      </c>
      <c r="V133" s="26" t="s">
        <v>150</v>
      </c>
      <c r="Y133" s="26" t="s">
        <v>655</v>
      </c>
      <c r="Z133" s="26">
        <v>33.520047</v>
      </c>
      <c r="AA133" s="26">
        <v>0</v>
      </c>
      <c r="AB133" s="26">
        <v>0</v>
      </c>
      <c r="AC133" s="26">
        <v>45</v>
      </c>
      <c r="AD133" s="26" t="s">
        <v>291</v>
      </c>
      <c r="AE133" s="26" t="s">
        <v>291</v>
      </c>
      <c r="AF133" s="26" t="s">
        <v>291</v>
      </c>
      <c r="AG133" s="26" t="s">
        <v>2932</v>
      </c>
      <c r="AI133" s="26" t="s">
        <v>167</v>
      </c>
      <c r="AJ133" s="26" t="s">
        <v>168</v>
      </c>
      <c r="AK133" s="26" t="s">
        <v>169</v>
      </c>
      <c r="AL133" s="26" t="s">
        <v>597</v>
      </c>
      <c r="AM133" s="26" t="s">
        <v>793</v>
      </c>
      <c r="AN133" s="26" t="s">
        <v>172</v>
      </c>
      <c r="AO133" s="26" t="s">
        <v>1517</v>
      </c>
      <c r="AP133" s="26" t="s">
        <v>162</v>
      </c>
      <c r="AQ133" s="26" t="s">
        <v>2933</v>
      </c>
      <c r="AR133" s="26" t="s">
        <v>2934</v>
      </c>
      <c r="AS133" s="26" t="s">
        <v>226</v>
      </c>
      <c r="AU133" s="26" t="s">
        <v>2935</v>
      </c>
      <c r="AV133" s="26" t="s">
        <v>2935</v>
      </c>
      <c r="AX133" s="26" t="s">
        <v>1545</v>
      </c>
      <c r="AY133" s="26" t="s">
        <v>179</v>
      </c>
      <c r="BC133" s="26" t="s">
        <v>2927</v>
      </c>
      <c r="BD133" s="26" t="s">
        <v>180</v>
      </c>
      <c r="BE133" s="26" t="s">
        <v>181</v>
      </c>
      <c r="BF133" s="26" t="s">
        <v>167</v>
      </c>
      <c r="BH133" s="26" t="s">
        <v>162</v>
      </c>
      <c r="BI133" s="26" t="s">
        <v>182</v>
      </c>
      <c r="BJ133" s="26" t="s">
        <v>2936</v>
      </c>
      <c r="BK133" s="26" t="s">
        <v>184</v>
      </c>
      <c r="BL133" s="26" t="s">
        <v>185</v>
      </c>
      <c r="BM133" s="26" t="s">
        <v>186</v>
      </c>
      <c r="BN133" s="26" t="s">
        <v>162</v>
      </c>
      <c r="BP133" s="26">
        <v>0</v>
      </c>
      <c r="BR133" s="26" t="s">
        <v>801</v>
      </c>
      <c r="BS133" s="26" t="s">
        <v>354</v>
      </c>
      <c r="BT133" s="26" t="s">
        <v>185</v>
      </c>
      <c r="BV133" s="26">
        <v>35.7552</v>
      </c>
      <c r="BW133" s="26">
        <v>0.16</v>
      </c>
      <c r="BZ133" s="26">
        <v>0</v>
      </c>
      <c r="CA133" s="26" t="s">
        <v>189</v>
      </c>
      <c r="CC133" s="26" t="s">
        <v>162</v>
      </c>
      <c r="CD133" s="26">
        <v>0</v>
      </c>
      <c r="CE133" s="26" t="s">
        <v>190</v>
      </c>
      <c r="CF133" s="26" t="s">
        <v>167</v>
      </c>
      <c r="CG133" s="26" t="s">
        <v>1547</v>
      </c>
      <c r="CI133" s="26" t="s">
        <v>267</v>
      </c>
      <c r="CJ133" s="26">
        <v>223.47</v>
      </c>
      <c r="CK133" s="26">
        <v>0</v>
      </c>
      <c r="CL133" s="26">
        <v>11.17</v>
      </c>
      <c r="CM133" s="26">
        <v>37.25</v>
      </c>
      <c r="CQ133" s="26" t="s">
        <v>233</v>
      </c>
      <c r="CR133" s="26" t="s">
        <v>2937</v>
      </c>
      <c r="CS133" s="26" t="s">
        <v>2938</v>
      </c>
      <c r="CW133" s="26" t="s">
        <v>1550</v>
      </c>
      <c r="CX133" s="26" t="s">
        <v>162</v>
      </c>
      <c r="CY133" s="26" t="s">
        <v>196</v>
      </c>
      <c r="CZ133" s="26">
        <v>0</v>
      </c>
      <c r="DB133" s="26">
        <v>0</v>
      </c>
      <c r="DK133" s="26" t="s">
        <v>150</v>
      </c>
      <c r="DL133" s="26" t="s">
        <v>390</v>
      </c>
      <c r="DM133" s="26" t="s">
        <v>2939</v>
      </c>
      <c r="DN133" s="26" t="s">
        <v>2940</v>
      </c>
      <c r="DO133" s="26" t="s">
        <v>2941</v>
      </c>
      <c r="DP133" s="26" t="s">
        <v>2942</v>
      </c>
      <c r="DR133" s="26" t="s">
        <v>189</v>
      </c>
      <c r="DS133" s="26" t="s">
        <v>189</v>
      </c>
      <c r="DT133" s="26" t="s">
        <v>189</v>
      </c>
      <c r="DU133" s="26" t="s">
        <v>189</v>
      </c>
      <c r="DV133" s="26" t="s">
        <v>203</v>
      </c>
      <c r="DW133" s="26" t="s">
        <v>162</v>
      </c>
      <c r="DX133" s="26" t="s">
        <v>162</v>
      </c>
      <c r="DY133" s="26">
        <v>0</v>
      </c>
      <c r="DZ133" s="26" t="s">
        <v>150</v>
      </c>
      <c r="EH133" s="26" t="s">
        <v>189</v>
      </c>
      <c r="EI133" s="26">
        <v>0.16</v>
      </c>
      <c r="EJ133" s="26">
        <v>35.7552</v>
      </c>
      <c r="EK133" s="26">
        <v>37.25</v>
      </c>
      <c r="EL133" s="26" t="s">
        <v>2943</v>
      </c>
      <c r="EM133" s="26" t="s">
        <v>206</v>
      </c>
      <c r="EN133" s="26" t="s">
        <v>207</v>
      </c>
    </row>
    <row r="134" spans="1:144">
      <c r="A134" s="26" t="s">
        <v>145</v>
      </c>
      <c r="B134" s="26" t="s">
        <v>1556</v>
      </c>
      <c r="C134" s="26" t="s">
        <v>2944</v>
      </c>
      <c r="D134" s="26" t="s">
        <v>148</v>
      </c>
      <c r="E134" s="26" t="s">
        <v>149</v>
      </c>
      <c r="F134" s="26" t="s">
        <v>152</v>
      </c>
      <c r="G134" s="26" t="s">
        <v>151</v>
      </c>
      <c r="H134" s="26" t="s">
        <v>152</v>
      </c>
      <c r="I134" s="26" t="s">
        <v>153</v>
      </c>
      <c r="J134" s="26" t="s">
        <v>154</v>
      </c>
      <c r="K134" s="26" t="s">
        <v>155</v>
      </c>
      <c r="L134" s="26" t="s">
        <v>2945</v>
      </c>
      <c r="M134" s="26" t="s">
        <v>2946</v>
      </c>
      <c r="N134" s="26" t="s">
        <v>2947</v>
      </c>
      <c r="O134" s="26" t="s">
        <v>2948</v>
      </c>
      <c r="P134" s="26" t="s">
        <v>2949</v>
      </c>
      <c r="Q134" s="26" t="s">
        <v>626</v>
      </c>
      <c r="R134" s="26">
        <v>313.82186</v>
      </c>
      <c r="S134" s="26" t="s">
        <v>2950</v>
      </c>
      <c r="T134" s="26">
        <v>307.77131</v>
      </c>
      <c r="U134" s="26" t="s">
        <v>217</v>
      </c>
      <c r="V134" s="26" t="s">
        <v>150</v>
      </c>
      <c r="Y134" s="26" t="s">
        <v>2951</v>
      </c>
      <c r="Z134" s="26">
        <v>47.073279</v>
      </c>
      <c r="AA134" s="26">
        <v>0</v>
      </c>
      <c r="AB134" s="26">
        <v>0</v>
      </c>
      <c r="AC134" s="26">
        <v>59</v>
      </c>
      <c r="AD134" s="26" t="s">
        <v>2952</v>
      </c>
      <c r="AE134" s="26" t="s">
        <v>2952</v>
      </c>
      <c r="AF134" s="26" t="s">
        <v>2952</v>
      </c>
      <c r="AG134" s="26" t="s">
        <v>2953</v>
      </c>
      <c r="AI134" s="26" t="s">
        <v>167</v>
      </c>
      <c r="AJ134" s="26" t="s">
        <v>797</v>
      </c>
      <c r="AK134" s="26" t="s">
        <v>798</v>
      </c>
      <c r="AL134" s="26" t="s">
        <v>2954</v>
      </c>
      <c r="AM134" s="26" t="s">
        <v>2955</v>
      </c>
      <c r="AN134" s="26" t="s">
        <v>172</v>
      </c>
      <c r="AO134" s="26" t="s">
        <v>187</v>
      </c>
      <c r="AP134" s="26" t="s">
        <v>162</v>
      </c>
      <c r="AQ134" s="26" t="s">
        <v>2956</v>
      </c>
      <c r="AR134" s="26" t="s">
        <v>2957</v>
      </c>
      <c r="AS134" s="26" t="s">
        <v>381</v>
      </c>
      <c r="AU134" s="26" t="s">
        <v>2958</v>
      </c>
      <c r="AV134" s="26" t="s">
        <v>150</v>
      </c>
      <c r="AX134" s="26" t="s">
        <v>2959</v>
      </c>
      <c r="AY134" s="26" t="s">
        <v>179</v>
      </c>
      <c r="BC134" s="26" t="s">
        <v>2944</v>
      </c>
      <c r="BD134" s="26" t="s">
        <v>180</v>
      </c>
      <c r="BE134" s="26" t="s">
        <v>181</v>
      </c>
      <c r="BF134" s="26" t="s">
        <v>167</v>
      </c>
      <c r="BH134" s="26" t="s">
        <v>162</v>
      </c>
      <c r="BI134" s="26" t="s">
        <v>807</v>
      </c>
      <c r="BJ134" s="26" t="s">
        <v>883</v>
      </c>
      <c r="BK134" s="26" t="s">
        <v>184</v>
      </c>
      <c r="BL134" s="26" t="s">
        <v>185</v>
      </c>
      <c r="BM134" s="26" t="s">
        <v>186</v>
      </c>
      <c r="BN134" s="26" t="s">
        <v>162</v>
      </c>
      <c r="BP134" s="26">
        <v>0</v>
      </c>
      <c r="BQ134" s="26" t="s">
        <v>187</v>
      </c>
      <c r="BS134" s="26" t="s">
        <v>188</v>
      </c>
      <c r="BT134" s="26" t="s">
        <v>185</v>
      </c>
      <c r="BV134" s="26">
        <v>50.2112</v>
      </c>
      <c r="BW134" s="26">
        <v>0.16</v>
      </c>
      <c r="BZ134" s="26">
        <v>0</v>
      </c>
      <c r="CA134" s="26" t="s">
        <v>189</v>
      </c>
      <c r="CC134" s="26" t="s">
        <v>162</v>
      </c>
      <c r="CD134" s="26">
        <v>0</v>
      </c>
      <c r="CE134" s="26" t="s">
        <v>190</v>
      </c>
      <c r="CF134" s="26" t="s">
        <v>167</v>
      </c>
      <c r="CG134" s="26" t="s">
        <v>2960</v>
      </c>
      <c r="CI134" s="26" t="s">
        <v>191</v>
      </c>
      <c r="CJ134" s="26">
        <v>313.82</v>
      </c>
      <c r="CK134" s="26">
        <v>0</v>
      </c>
      <c r="CL134" s="26">
        <v>15.69</v>
      </c>
      <c r="CM134" s="26">
        <v>50.52</v>
      </c>
      <c r="CQ134" s="26" t="s">
        <v>233</v>
      </c>
      <c r="CR134" s="26" t="s">
        <v>2961</v>
      </c>
      <c r="CS134" s="26" t="s">
        <v>2962</v>
      </c>
      <c r="CW134" s="26" t="s">
        <v>2963</v>
      </c>
      <c r="CX134" s="26" t="s">
        <v>305</v>
      </c>
      <c r="CY134" s="26" t="s">
        <v>196</v>
      </c>
      <c r="CZ134" s="26">
        <v>0</v>
      </c>
      <c r="DB134" s="26">
        <v>0</v>
      </c>
      <c r="DK134" s="26" t="s">
        <v>150</v>
      </c>
      <c r="DL134" s="26" t="s">
        <v>581</v>
      </c>
      <c r="DM134" s="26" t="s">
        <v>2964</v>
      </c>
      <c r="DN134" s="26" t="s">
        <v>2965</v>
      </c>
      <c r="DO134" s="26" t="s">
        <v>2941</v>
      </c>
      <c r="DP134" s="26" t="s">
        <v>2966</v>
      </c>
      <c r="DR134" s="26" t="s">
        <v>189</v>
      </c>
      <c r="DS134" s="26" t="s">
        <v>189</v>
      </c>
      <c r="DT134" s="26" t="s">
        <v>189</v>
      </c>
      <c r="DU134" s="26" t="s">
        <v>189</v>
      </c>
      <c r="DV134" s="26" t="s">
        <v>203</v>
      </c>
      <c r="DW134" s="26" t="s">
        <v>162</v>
      </c>
      <c r="DX134" s="26" t="s">
        <v>162</v>
      </c>
      <c r="DY134" s="26">
        <v>0</v>
      </c>
      <c r="DZ134" s="26" t="s">
        <v>150</v>
      </c>
      <c r="EH134" s="26" t="s">
        <v>189</v>
      </c>
      <c r="EI134" s="26">
        <v>0.16</v>
      </c>
      <c r="EJ134" s="26">
        <v>50.2112</v>
      </c>
      <c r="EK134" s="26">
        <v>50.52</v>
      </c>
      <c r="EL134" s="26" t="s">
        <v>2967</v>
      </c>
      <c r="EM134" s="26" t="s">
        <v>206</v>
      </c>
      <c r="EN134" s="26" t="s">
        <v>207</v>
      </c>
    </row>
    <row r="135" spans="1:144">
      <c r="A135" s="26" t="s">
        <v>145</v>
      </c>
      <c r="B135" s="26" t="s">
        <v>1556</v>
      </c>
      <c r="C135" s="26" t="s">
        <v>2968</v>
      </c>
      <c r="D135" s="26" t="s">
        <v>148</v>
      </c>
      <c r="E135" s="26" t="s">
        <v>149</v>
      </c>
      <c r="F135" s="26" t="s">
        <v>152</v>
      </c>
      <c r="G135" s="26" t="s">
        <v>151</v>
      </c>
      <c r="H135" s="26" t="s">
        <v>152</v>
      </c>
      <c r="I135" s="26" t="s">
        <v>153</v>
      </c>
      <c r="J135" s="26" t="s">
        <v>154</v>
      </c>
      <c r="K135" s="26" t="s">
        <v>1075</v>
      </c>
      <c r="L135" s="26" t="s">
        <v>1884</v>
      </c>
      <c r="M135" s="26" t="s">
        <v>2969</v>
      </c>
      <c r="N135" s="26" t="s">
        <v>2970</v>
      </c>
      <c r="O135" s="26" t="s">
        <v>2634</v>
      </c>
      <c r="P135" s="26" t="s">
        <v>2635</v>
      </c>
      <c r="Q135" s="26" t="s">
        <v>2636</v>
      </c>
      <c r="R135" s="26">
        <v>83.09422</v>
      </c>
      <c r="S135" s="26" t="s">
        <v>2637</v>
      </c>
      <c r="T135" s="26">
        <v>77.04367</v>
      </c>
      <c r="U135" s="26" t="s">
        <v>217</v>
      </c>
      <c r="V135" s="26" t="s">
        <v>150</v>
      </c>
      <c r="Y135" s="26" t="s">
        <v>2638</v>
      </c>
      <c r="Z135" s="26">
        <v>12.464133</v>
      </c>
      <c r="AA135" s="26">
        <v>0</v>
      </c>
      <c r="AB135" s="26">
        <v>0</v>
      </c>
      <c r="AC135" s="26">
        <v>6.99</v>
      </c>
      <c r="AD135" s="26" t="s">
        <v>2971</v>
      </c>
      <c r="AE135" s="26" t="s">
        <v>2971</v>
      </c>
      <c r="AF135" s="26" t="s">
        <v>2971</v>
      </c>
      <c r="AG135" s="26" t="s">
        <v>2972</v>
      </c>
      <c r="AI135" s="26" t="s">
        <v>167</v>
      </c>
      <c r="AJ135" s="26" t="s">
        <v>168</v>
      </c>
      <c r="AK135" s="26" t="s">
        <v>169</v>
      </c>
      <c r="AL135" s="26" t="s">
        <v>2641</v>
      </c>
      <c r="AM135" s="26" t="s">
        <v>2641</v>
      </c>
      <c r="AN135" s="26" t="s">
        <v>172</v>
      </c>
      <c r="AO135" s="26" t="s">
        <v>1895</v>
      </c>
      <c r="AP135" s="26" t="s">
        <v>162</v>
      </c>
      <c r="AQ135" s="26" t="s">
        <v>2973</v>
      </c>
      <c r="AR135" s="26" t="s">
        <v>2974</v>
      </c>
      <c r="AS135" s="26" t="s">
        <v>662</v>
      </c>
      <c r="AU135" s="26" t="s">
        <v>2975</v>
      </c>
      <c r="AV135" s="26" t="s">
        <v>2975</v>
      </c>
      <c r="AX135" s="26" t="s">
        <v>2645</v>
      </c>
      <c r="AY135" s="26" t="s">
        <v>179</v>
      </c>
      <c r="BC135" s="26" t="s">
        <v>2968</v>
      </c>
      <c r="BD135" s="26" t="s">
        <v>180</v>
      </c>
      <c r="BE135" s="26" t="s">
        <v>181</v>
      </c>
      <c r="BF135" s="26" t="s">
        <v>167</v>
      </c>
      <c r="BH135" s="26" t="s">
        <v>162</v>
      </c>
      <c r="BI135" s="26" t="s">
        <v>182</v>
      </c>
      <c r="BJ135" s="26" t="s">
        <v>2976</v>
      </c>
      <c r="BK135" s="26" t="s">
        <v>184</v>
      </c>
      <c r="BL135" s="26" t="s">
        <v>185</v>
      </c>
      <c r="BM135" s="26" t="s">
        <v>186</v>
      </c>
      <c r="BN135" s="26" t="s">
        <v>162</v>
      </c>
      <c r="BP135" s="26">
        <v>0</v>
      </c>
      <c r="BQ135" s="26" t="s">
        <v>776</v>
      </c>
      <c r="BS135" s="26" t="s">
        <v>354</v>
      </c>
      <c r="BT135" s="26" t="s">
        <v>185</v>
      </c>
      <c r="BV135" s="26">
        <v>11.6326</v>
      </c>
      <c r="BW135" s="26">
        <v>0.14</v>
      </c>
      <c r="BZ135" s="26">
        <v>0</v>
      </c>
      <c r="CA135" s="26" t="s">
        <v>189</v>
      </c>
      <c r="CC135" s="26" t="s">
        <v>162</v>
      </c>
      <c r="CD135" s="26">
        <v>0</v>
      </c>
      <c r="CE135" s="26" t="s">
        <v>190</v>
      </c>
      <c r="CF135" s="26" t="s">
        <v>167</v>
      </c>
      <c r="CG135" s="26" t="s">
        <v>2977</v>
      </c>
      <c r="CI135" s="26" t="s">
        <v>1095</v>
      </c>
      <c r="CJ135" s="26">
        <v>83.09</v>
      </c>
      <c r="CK135" s="26">
        <v>0</v>
      </c>
      <c r="CL135" s="26">
        <v>4.15</v>
      </c>
      <c r="CM135" s="26">
        <v>22</v>
      </c>
      <c r="CQ135" s="26" t="s">
        <v>605</v>
      </c>
      <c r="CR135" s="26" t="s">
        <v>2647</v>
      </c>
      <c r="CS135" s="26" t="s">
        <v>2978</v>
      </c>
      <c r="CW135" s="26" t="s">
        <v>2649</v>
      </c>
      <c r="CX135" s="26" t="s">
        <v>162</v>
      </c>
      <c r="CY135" s="26" t="s">
        <v>196</v>
      </c>
      <c r="CZ135" s="26">
        <v>0</v>
      </c>
      <c r="DB135" s="26">
        <v>0</v>
      </c>
      <c r="DK135" s="26" t="s">
        <v>150</v>
      </c>
      <c r="DL135" s="26" t="s">
        <v>542</v>
      </c>
      <c r="DM135" s="26" t="s">
        <v>2979</v>
      </c>
      <c r="DN135" s="26" t="s">
        <v>2980</v>
      </c>
      <c r="DO135" s="26" t="s">
        <v>2941</v>
      </c>
      <c r="DP135" s="26" t="s">
        <v>2981</v>
      </c>
      <c r="DR135" s="26" t="s">
        <v>189</v>
      </c>
      <c r="DS135" s="26" t="s">
        <v>189</v>
      </c>
      <c r="DT135" s="26" t="s">
        <v>189</v>
      </c>
      <c r="DU135" s="26" t="s">
        <v>189</v>
      </c>
      <c r="DV135" s="26" t="s">
        <v>203</v>
      </c>
      <c r="DW135" s="26" t="s">
        <v>162</v>
      </c>
      <c r="DX135" s="26" t="s">
        <v>162</v>
      </c>
      <c r="DY135" s="26">
        <v>0</v>
      </c>
      <c r="DZ135" s="26" t="s">
        <v>150</v>
      </c>
      <c r="EH135" s="26" t="s">
        <v>189</v>
      </c>
      <c r="EI135" s="26">
        <v>0.14</v>
      </c>
      <c r="EJ135" s="26">
        <v>11.6326</v>
      </c>
      <c r="EK135" s="26">
        <v>22</v>
      </c>
      <c r="EL135" s="26" t="s">
        <v>2652</v>
      </c>
      <c r="EM135" s="26" t="s">
        <v>206</v>
      </c>
      <c r="EN135" s="26" t="s">
        <v>207</v>
      </c>
    </row>
    <row r="136" spans="1:144">
      <c r="A136" s="26" t="s">
        <v>145</v>
      </c>
      <c r="B136" s="26" t="s">
        <v>763</v>
      </c>
      <c r="C136" s="26" t="s">
        <v>2982</v>
      </c>
      <c r="D136" s="26" t="s">
        <v>148</v>
      </c>
      <c r="E136" s="26" t="s">
        <v>149</v>
      </c>
      <c r="F136" s="26" t="s">
        <v>152</v>
      </c>
      <c r="G136" s="26" t="s">
        <v>151</v>
      </c>
      <c r="H136" s="26" t="s">
        <v>152</v>
      </c>
      <c r="I136" s="26" t="s">
        <v>153</v>
      </c>
      <c r="J136" s="26" t="s">
        <v>154</v>
      </c>
      <c r="K136" s="26" t="s">
        <v>209</v>
      </c>
      <c r="L136" s="26" t="s">
        <v>210</v>
      </c>
      <c r="M136" s="26" t="s">
        <v>2983</v>
      </c>
      <c r="N136" s="26" t="s">
        <v>2984</v>
      </c>
      <c r="O136" s="26" t="s">
        <v>2985</v>
      </c>
      <c r="P136" s="26" t="s">
        <v>2986</v>
      </c>
      <c r="Q136" s="26" t="s">
        <v>2987</v>
      </c>
      <c r="R136" s="26">
        <v>1588.610004</v>
      </c>
      <c r="S136" s="26" t="s">
        <v>980</v>
      </c>
      <c r="T136" s="26">
        <v>154.876124</v>
      </c>
      <c r="U136" s="26" t="s">
        <v>217</v>
      </c>
      <c r="V136" s="26" t="s">
        <v>150</v>
      </c>
      <c r="Y136" s="26" t="s">
        <v>2988</v>
      </c>
      <c r="Z136" s="26">
        <v>34.03988232</v>
      </c>
      <c r="AA136" s="26">
        <v>0</v>
      </c>
      <c r="AB136" s="26">
        <v>0</v>
      </c>
      <c r="AC136" s="26">
        <v>28</v>
      </c>
      <c r="AD136" s="26" t="s">
        <v>1480</v>
      </c>
      <c r="AE136" s="26" t="s">
        <v>1480</v>
      </c>
      <c r="AF136" s="26" t="s">
        <v>1480</v>
      </c>
      <c r="AG136" s="26" t="s">
        <v>2989</v>
      </c>
      <c r="AI136" s="26" t="s">
        <v>167</v>
      </c>
      <c r="AJ136" s="26" t="s">
        <v>2990</v>
      </c>
      <c r="AK136" s="26" t="s">
        <v>2991</v>
      </c>
      <c r="AL136" s="26" t="s">
        <v>2992</v>
      </c>
      <c r="AM136" s="26" t="s">
        <v>2993</v>
      </c>
      <c r="AN136" s="26" t="s">
        <v>172</v>
      </c>
      <c r="AO136" s="26" t="s">
        <v>2994</v>
      </c>
      <c r="AP136" s="26" t="s">
        <v>162</v>
      </c>
      <c r="AQ136" s="26" t="s">
        <v>2995</v>
      </c>
      <c r="AR136" s="26" t="s">
        <v>2996</v>
      </c>
      <c r="AS136" s="26" t="s">
        <v>1439</v>
      </c>
      <c r="AU136" s="26" t="s">
        <v>2997</v>
      </c>
      <c r="AV136" s="26" t="s">
        <v>2998</v>
      </c>
      <c r="AX136" s="26" t="s">
        <v>2999</v>
      </c>
      <c r="AY136" s="26" t="s">
        <v>179</v>
      </c>
      <c r="AZ136" s="26" t="s">
        <v>3000</v>
      </c>
      <c r="BA136" s="26" t="s">
        <v>162</v>
      </c>
      <c r="BC136" s="26" t="s">
        <v>2982</v>
      </c>
      <c r="BD136" s="26" t="s">
        <v>180</v>
      </c>
      <c r="BE136" s="26" t="s">
        <v>181</v>
      </c>
      <c r="BF136" s="26" t="s">
        <v>167</v>
      </c>
      <c r="BH136" s="26" t="s">
        <v>162</v>
      </c>
      <c r="BI136" s="26" t="s">
        <v>182</v>
      </c>
      <c r="BJ136" s="26" t="s">
        <v>537</v>
      </c>
      <c r="BK136" s="26" t="s">
        <v>3001</v>
      </c>
      <c r="BL136" s="26" t="s">
        <v>185</v>
      </c>
      <c r="BM136" s="26" t="s">
        <v>186</v>
      </c>
      <c r="BN136" s="26" t="s">
        <v>162</v>
      </c>
      <c r="BP136" s="26">
        <v>0</v>
      </c>
      <c r="BQ136" s="26" t="s">
        <v>494</v>
      </c>
      <c r="BS136" s="26" t="s">
        <v>230</v>
      </c>
      <c r="BT136" s="26" t="s">
        <v>185</v>
      </c>
      <c r="BV136" s="26">
        <v>22.5456</v>
      </c>
      <c r="BW136" s="26">
        <v>0.14</v>
      </c>
      <c r="BZ136" s="26">
        <v>0</v>
      </c>
      <c r="CA136" s="26" t="s">
        <v>189</v>
      </c>
      <c r="CC136" s="26" t="s">
        <v>162</v>
      </c>
      <c r="CD136" s="26">
        <v>0</v>
      </c>
      <c r="CE136" s="26" t="s">
        <v>190</v>
      </c>
      <c r="CF136" s="26" t="s">
        <v>467</v>
      </c>
      <c r="CG136" s="26" t="s">
        <v>3002</v>
      </c>
      <c r="CI136" s="26" t="s">
        <v>232</v>
      </c>
      <c r="CJ136" s="26">
        <v>161.04</v>
      </c>
      <c r="CK136" s="26">
        <v>0</v>
      </c>
      <c r="CL136" s="26">
        <v>8.05</v>
      </c>
      <c r="CM136" s="26">
        <v>31.1</v>
      </c>
      <c r="CQ136" s="26" t="s">
        <v>605</v>
      </c>
      <c r="CR136" s="26" t="s">
        <v>3003</v>
      </c>
      <c r="CS136" s="26" t="s">
        <v>3004</v>
      </c>
      <c r="CW136" s="26" t="s">
        <v>3005</v>
      </c>
      <c r="CX136" s="26" t="s">
        <v>162</v>
      </c>
      <c r="CY136" s="26" t="s">
        <v>196</v>
      </c>
      <c r="CZ136" s="26">
        <v>0</v>
      </c>
      <c r="DB136" s="26">
        <v>0</v>
      </c>
      <c r="DK136" s="26" t="s">
        <v>150</v>
      </c>
      <c r="DL136" s="26" t="s">
        <v>390</v>
      </c>
      <c r="DM136" s="26" t="s">
        <v>3006</v>
      </c>
      <c r="DN136" s="26" t="s">
        <v>3007</v>
      </c>
      <c r="DO136" s="26" t="s">
        <v>2941</v>
      </c>
      <c r="DP136" s="26" t="s">
        <v>3008</v>
      </c>
      <c r="DR136" s="26" t="s">
        <v>189</v>
      </c>
      <c r="DS136" s="26" t="s">
        <v>189</v>
      </c>
      <c r="DT136" s="26" t="s">
        <v>189</v>
      </c>
      <c r="DU136" s="26" t="s">
        <v>189</v>
      </c>
      <c r="DV136" s="26" t="s">
        <v>203</v>
      </c>
      <c r="DW136" s="26" t="s">
        <v>162</v>
      </c>
      <c r="DX136" s="26" t="s">
        <v>162</v>
      </c>
      <c r="DY136" s="26">
        <v>0</v>
      </c>
      <c r="DZ136" s="26" t="s">
        <v>150</v>
      </c>
      <c r="EH136" s="26" t="s">
        <v>189</v>
      </c>
      <c r="EI136" s="26">
        <v>0.14</v>
      </c>
      <c r="EJ136" s="26">
        <v>22.5456</v>
      </c>
      <c r="EK136" s="26">
        <v>31.1</v>
      </c>
      <c r="EL136" s="26" t="s">
        <v>3009</v>
      </c>
      <c r="EM136" s="26" t="s">
        <v>206</v>
      </c>
      <c r="EN136" s="26" t="s">
        <v>207</v>
      </c>
    </row>
    <row r="137" spans="1:144">
      <c r="A137" s="26" t="s">
        <v>145</v>
      </c>
      <c r="B137" s="26" t="s">
        <v>763</v>
      </c>
      <c r="C137" s="26" t="s">
        <v>2982</v>
      </c>
      <c r="D137" s="26" t="s">
        <v>148</v>
      </c>
      <c r="E137" s="26" t="s">
        <v>149</v>
      </c>
      <c r="F137" s="26" t="s">
        <v>152</v>
      </c>
      <c r="G137" s="26" t="s">
        <v>151</v>
      </c>
      <c r="H137" s="26" t="s">
        <v>152</v>
      </c>
      <c r="I137" s="26" t="s">
        <v>153</v>
      </c>
      <c r="J137" s="26" t="s">
        <v>154</v>
      </c>
      <c r="K137" s="26" t="s">
        <v>209</v>
      </c>
      <c r="L137" s="26" t="s">
        <v>210</v>
      </c>
      <c r="M137" s="26" t="s">
        <v>2983</v>
      </c>
      <c r="O137" s="26" t="s">
        <v>3010</v>
      </c>
      <c r="P137" s="26" t="s">
        <v>3011</v>
      </c>
      <c r="S137" s="26" t="s">
        <v>980</v>
      </c>
      <c r="T137" s="26">
        <v>154.876124</v>
      </c>
      <c r="U137" s="26" t="s">
        <v>217</v>
      </c>
      <c r="V137" s="26" t="s">
        <v>150</v>
      </c>
      <c r="Y137" s="26" t="s">
        <v>2988</v>
      </c>
      <c r="Z137" s="26">
        <v>34.03988232</v>
      </c>
      <c r="AA137" s="26">
        <v>0</v>
      </c>
      <c r="AB137" s="26">
        <v>0</v>
      </c>
      <c r="AC137" s="26">
        <v>28</v>
      </c>
      <c r="AD137" s="26" t="s">
        <v>1480</v>
      </c>
      <c r="AE137" s="26" t="s">
        <v>1480</v>
      </c>
      <c r="AF137" s="26" t="s">
        <v>1480</v>
      </c>
      <c r="AG137" s="26" t="s">
        <v>2989</v>
      </c>
      <c r="AI137" s="26" t="s">
        <v>167</v>
      </c>
      <c r="AJ137" s="26" t="s">
        <v>2990</v>
      </c>
      <c r="AK137" s="26" t="s">
        <v>2991</v>
      </c>
      <c r="AM137" s="26" t="s">
        <v>3012</v>
      </c>
      <c r="AN137" s="26" t="s">
        <v>172</v>
      </c>
      <c r="AO137" s="26" t="s">
        <v>2994</v>
      </c>
      <c r="AP137" s="26" t="s">
        <v>162</v>
      </c>
      <c r="AQ137" s="26" t="s">
        <v>2995</v>
      </c>
      <c r="AR137" s="26" t="s">
        <v>2996</v>
      </c>
      <c r="AS137" s="26" t="s">
        <v>1439</v>
      </c>
      <c r="AU137" s="26" t="s">
        <v>2997</v>
      </c>
      <c r="AV137" s="26" t="s">
        <v>2998</v>
      </c>
      <c r="AX137" s="26" t="s">
        <v>2999</v>
      </c>
      <c r="AY137" s="26" t="s">
        <v>179</v>
      </c>
      <c r="AZ137" s="26" t="s">
        <v>3000</v>
      </c>
      <c r="BA137" s="26" t="s">
        <v>162</v>
      </c>
      <c r="BC137" s="26" t="s">
        <v>2982</v>
      </c>
      <c r="BD137" s="26" t="s">
        <v>180</v>
      </c>
      <c r="BE137" s="26" t="s">
        <v>181</v>
      </c>
      <c r="BF137" s="26" t="s">
        <v>167</v>
      </c>
      <c r="BH137" s="26" t="s">
        <v>162</v>
      </c>
      <c r="BI137" s="26" t="s">
        <v>182</v>
      </c>
      <c r="BJ137" s="26" t="s">
        <v>537</v>
      </c>
      <c r="BK137" s="26" t="s">
        <v>3001</v>
      </c>
      <c r="BL137" s="26" t="s">
        <v>185</v>
      </c>
      <c r="BM137" s="26" t="s">
        <v>186</v>
      </c>
      <c r="BN137" s="26" t="s">
        <v>162</v>
      </c>
      <c r="BP137" s="26">
        <v>0</v>
      </c>
      <c r="BQ137" s="26" t="s">
        <v>494</v>
      </c>
      <c r="BS137" s="26" t="s">
        <v>230</v>
      </c>
      <c r="BT137" s="26" t="s">
        <v>185</v>
      </c>
      <c r="BV137" s="26">
        <v>22.5456</v>
      </c>
      <c r="BW137" s="26">
        <v>0.14</v>
      </c>
      <c r="BZ137" s="26">
        <v>0</v>
      </c>
      <c r="CA137" s="26" t="s">
        <v>189</v>
      </c>
      <c r="CC137" s="26" t="s">
        <v>162</v>
      </c>
      <c r="CD137" s="26">
        <v>0</v>
      </c>
      <c r="CE137" s="26" t="s">
        <v>190</v>
      </c>
      <c r="CF137" s="26" t="s">
        <v>167</v>
      </c>
      <c r="CG137" s="26" t="s">
        <v>3013</v>
      </c>
      <c r="CI137" s="26" t="s">
        <v>232</v>
      </c>
      <c r="CJ137" s="26">
        <v>161.04</v>
      </c>
      <c r="CK137" s="26">
        <v>0</v>
      </c>
      <c r="CL137" s="26">
        <v>8.05</v>
      </c>
      <c r="CM137" s="26">
        <v>31.1</v>
      </c>
      <c r="CQ137" s="26" t="s">
        <v>605</v>
      </c>
      <c r="CR137" s="26" t="s">
        <v>3003</v>
      </c>
      <c r="CS137" s="26" t="s">
        <v>3004</v>
      </c>
      <c r="CW137" s="26" t="s">
        <v>3005</v>
      </c>
      <c r="CX137" s="26" t="s">
        <v>162</v>
      </c>
      <c r="CY137" s="26" t="s">
        <v>196</v>
      </c>
      <c r="CZ137" s="26">
        <v>0</v>
      </c>
      <c r="DB137" s="26">
        <v>0</v>
      </c>
      <c r="DK137" s="26" t="s">
        <v>150</v>
      </c>
      <c r="DL137" s="26" t="s">
        <v>390</v>
      </c>
      <c r="DM137" s="26" t="s">
        <v>3006</v>
      </c>
      <c r="DN137" s="26" t="s">
        <v>3007</v>
      </c>
      <c r="DO137" s="26" t="s">
        <v>2941</v>
      </c>
      <c r="DP137" s="26" t="s">
        <v>3008</v>
      </c>
      <c r="DR137" s="26" t="s">
        <v>189</v>
      </c>
      <c r="DS137" s="26" t="s">
        <v>189</v>
      </c>
      <c r="DT137" s="26" t="s">
        <v>189</v>
      </c>
      <c r="DU137" s="26" t="s">
        <v>189</v>
      </c>
      <c r="DV137" s="26" t="s">
        <v>203</v>
      </c>
      <c r="DW137" s="26" t="s">
        <v>162</v>
      </c>
      <c r="DX137" s="26" t="s">
        <v>162</v>
      </c>
      <c r="DY137" s="26">
        <v>0</v>
      </c>
      <c r="DZ137" s="26" t="s">
        <v>150</v>
      </c>
      <c r="EH137" s="26" t="s">
        <v>189</v>
      </c>
      <c r="EI137" s="26">
        <v>0.14</v>
      </c>
      <c r="EJ137" s="26">
        <v>22.5456</v>
      </c>
      <c r="EK137" s="26">
        <v>31.1</v>
      </c>
      <c r="EL137" s="26" t="s">
        <v>3014</v>
      </c>
      <c r="EM137" s="26" t="s">
        <v>206</v>
      </c>
      <c r="EN137" s="26" t="s">
        <v>207</v>
      </c>
    </row>
    <row r="138" spans="1:144">
      <c r="A138" s="26" t="s">
        <v>145</v>
      </c>
      <c r="B138" s="26" t="s">
        <v>763</v>
      </c>
      <c r="C138" s="26" t="s">
        <v>2982</v>
      </c>
      <c r="D138" s="26" t="s">
        <v>148</v>
      </c>
      <c r="E138" s="26" t="s">
        <v>149</v>
      </c>
      <c r="F138" s="26" t="s">
        <v>152</v>
      </c>
      <c r="G138" s="26" t="s">
        <v>151</v>
      </c>
      <c r="H138" s="26" t="s">
        <v>152</v>
      </c>
      <c r="I138" s="26" t="s">
        <v>153</v>
      </c>
      <c r="J138" s="26" t="s">
        <v>154</v>
      </c>
      <c r="K138" s="26" t="s">
        <v>209</v>
      </c>
      <c r="L138" s="26" t="s">
        <v>210</v>
      </c>
      <c r="M138" s="26" t="s">
        <v>2983</v>
      </c>
      <c r="O138" s="26" t="s">
        <v>3015</v>
      </c>
      <c r="P138" s="26" t="s">
        <v>3016</v>
      </c>
      <c r="S138" s="26" t="s">
        <v>626</v>
      </c>
      <c r="T138" s="26">
        <v>319.611736</v>
      </c>
      <c r="U138" s="26" t="s">
        <v>217</v>
      </c>
      <c r="V138" s="26" t="s">
        <v>150</v>
      </c>
      <c r="Y138" s="26" t="s">
        <v>2988</v>
      </c>
      <c r="Z138" s="26">
        <v>34.03988232</v>
      </c>
      <c r="AA138" s="26">
        <v>0</v>
      </c>
      <c r="AB138" s="26">
        <v>0</v>
      </c>
      <c r="AC138" s="26">
        <v>75</v>
      </c>
      <c r="AD138" s="26" t="s">
        <v>1047</v>
      </c>
      <c r="AE138" s="26" t="s">
        <v>1047</v>
      </c>
      <c r="AF138" s="26" t="s">
        <v>1047</v>
      </c>
      <c r="AG138" s="26" t="s">
        <v>2989</v>
      </c>
      <c r="AI138" s="26" t="s">
        <v>167</v>
      </c>
      <c r="AJ138" s="26" t="s">
        <v>2990</v>
      </c>
      <c r="AK138" s="26" t="s">
        <v>2991</v>
      </c>
      <c r="AM138" s="26" t="s">
        <v>3017</v>
      </c>
      <c r="AN138" s="26" t="s">
        <v>172</v>
      </c>
      <c r="AO138" s="26" t="s">
        <v>2308</v>
      </c>
      <c r="AP138" s="26" t="s">
        <v>162</v>
      </c>
      <c r="AQ138" s="26" t="s">
        <v>2995</v>
      </c>
      <c r="AR138" s="26" t="s">
        <v>2996</v>
      </c>
      <c r="AS138" s="26" t="s">
        <v>321</v>
      </c>
      <c r="AU138" s="26" t="s">
        <v>2997</v>
      </c>
      <c r="AV138" s="26" t="s">
        <v>2998</v>
      </c>
      <c r="AX138" s="26" t="s">
        <v>3018</v>
      </c>
      <c r="AY138" s="26" t="s">
        <v>179</v>
      </c>
      <c r="AZ138" s="26" t="s">
        <v>3000</v>
      </c>
      <c r="BA138" s="26" t="s">
        <v>162</v>
      </c>
      <c r="BC138" s="26" t="s">
        <v>2982</v>
      </c>
      <c r="BD138" s="26" t="s">
        <v>180</v>
      </c>
      <c r="BE138" s="26" t="s">
        <v>181</v>
      </c>
      <c r="BF138" s="26" t="s">
        <v>167</v>
      </c>
      <c r="BH138" s="26" t="s">
        <v>162</v>
      </c>
      <c r="BI138" s="26" t="s">
        <v>182</v>
      </c>
      <c r="BJ138" s="26" t="s">
        <v>3019</v>
      </c>
      <c r="BK138" s="26" t="s">
        <v>3001</v>
      </c>
      <c r="BL138" s="26" t="s">
        <v>185</v>
      </c>
      <c r="BM138" s="26" t="s">
        <v>186</v>
      </c>
      <c r="BN138" s="26" t="s">
        <v>162</v>
      </c>
      <c r="BP138" s="26">
        <v>0</v>
      </c>
      <c r="BQ138" s="26" t="s">
        <v>223</v>
      </c>
      <c r="BS138" s="26" t="s">
        <v>230</v>
      </c>
      <c r="BT138" s="26" t="s">
        <v>185</v>
      </c>
      <c r="BV138" s="26">
        <v>45.6078</v>
      </c>
      <c r="BW138" s="26">
        <v>0.14</v>
      </c>
      <c r="BZ138" s="26">
        <v>0</v>
      </c>
      <c r="CA138" s="26" t="s">
        <v>189</v>
      </c>
      <c r="CC138" s="26" t="s">
        <v>162</v>
      </c>
      <c r="CD138" s="26">
        <v>0</v>
      </c>
      <c r="CE138" s="26" t="s">
        <v>190</v>
      </c>
      <c r="CF138" s="26" t="s">
        <v>435</v>
      </c>
      <c r="CG138" s="26" t="s">
        <v>3020</v>
      </c>
      <c r="CI138" s="26" t="s">
        <v>232</v>
      </c>
      <c r="CJ138" s="26">
        <v>325.77</v>
      </c>
      <c r="CK138" s="26">
        <v>0</v>
      </c>
      <c r="CL138" s="26">
        <v>16.29</v>
      </c>
      <c r="CM138" s="26">
        <v>117.53</v>
      </c>
      <c r="CQ138" s="26" t="s">
        <v>233</v>
      </c>
      <c r="CR138" s="26" t="s">
        <v>3003</v>
      </c>
      <c r="CS138" s="26" t="s">
        <v>3004</v>
      </c>
      <c r="CW138" s="26" t="s">
        <v>3021</v>
      </c>
      <c r="CX138" s="26" t="s">
        <v>162</v>
      </c>
      <c r="CY138" s="26" t="s">
        <v>196</v>
      </c>
      <c r="CZ138" s="26">
        <v>0</v>
      </c>
      <c r="DB138" s="26">
        <v>0</v>
      </c>
      <c r="DK138" s="26" t="s">
        <v>150</v>
      </c>
      <c r="DL138" s="26" t="s">
        <v>390</v>
      </c>
      <c r="DM138" s="26" t="s">
        <v>3006</v>
      </c>
      <c r="DN138" s="26" t="s">
        <v>3007</v>
      </c>
      <c r="DO138" s="26" t="s">
        <v>2941</v>
      </c>
      <c r="DP138" s="26" t="s">
        <v>3008</v>
      </c>
      <c r="DR138" s="26" t="s">
        <v>189</v>
      </c>
      <c r="DS138" s="26" t="s">
        <v>189</v>
      </c>
      <c r="DT138" s="26" t="s">
        <v>189</v>
      </c>
      <c r="DU138" s="26" t="s">
        <v>189</v>
      </c>
      <c r="DV138" s="26" t="s">
        <v>203</v>
      </c>
      <c r="DW138" s="26" t="s">
        <v>162</v>
      </c>
      <c r="DX138" s="26" t="s">
        <v>162</v>
      </c>
      <c r="DY138" s="26">
        <v>0</v>
      </c>
      <c r="DZ138" s="26" t="s">
        <v>150</v>
      </c>
      <c r="EH138" s="26" t="s">
        <v>189</v>
      </c>
      <c r="EI138" s="26">
        <v>0.14</v>
      </c>
      <c r="EJ138" s="26">
        <v>45.6078</v>
      </c>
      <c r="EK138" s="26">
        <v>117.53</v>
      </c>
      <c r="EL138" s="26" t="s">
        <v>3022</v>
      </c>
      <c r="EM138" s="26" t="s">
        <v>206</v>
      </c>
      <c r="EN138" s="26" t="s">
        <v>207</v>
      </c>
    </row>
    <row r="139" spans="1:144">
      <c r="A139" s="26" t="s">
        <v>145</v>
      </c>
      <c r="B139" s="26" t="s">
        <v>763</v>
      </c>
      <c r="C139" s="26" t="s">
        <v>2982</v>
      </c>
      <c r="D139" s="26" t="s">
        <v>148</v>
      </c>
      <c r="E139" s="26" t="s">
        <v>149</v>
      </c>
      <c r="F139" s="26" t="s">
        <v>152</v>
      </c>
      <c r="G139" s="26" t="s">
        <v>151</v>
      </c>
      <c r="H139" s="26" t="s">
        <v>152</v>
      </c>
      <c r="I139" s="26" t="s">
        <v>153</v>
      </c>
      <c r="J139" s="26" t="s">
        <v>154</v>
      </c>
      <c r="K139" s="26" t="s">
        <v>209</v>
      </c>
      <c r="L139" s="26" t="s">
        <v>210</v>
      </c>
      <c r="M139" s="26" t="s">
        <v>2983</v>
      </c>
      <c r="O139" s="26" t="s">
        <v>3023</v>
      </c>
      <c r="P139" s="26" t="s">
        <v>3024</v>
      </c>
      <c r="S139" s="26" t="s">
        <v>376</v>
      </c>
      <c r="T139" s="26">
        <v>187.330272</v>
      </c>
      <c r="U139" s="26" t="s">
        <v>217</v>
      </c>
      <c r="V139" s="26" t="s">
        <v>150</v>
      </c>
      <c r="Y139" s="26" t="s">
        <v>2988</v>
      </c>
      <c r="Z139" s="26">
        <v>34.03988232</v>
      </c>
      <c r="AA139" s="26">
        <v>0</v>
      </c>
      <c r="AB139" s="26">
        <v>0</v>
      </c>
      <c r="AC139" s="26">
        <v>33</v>
      </c>
      <c r="AD139" s="26" t="s">
        <v>3025</v>
      </c>
      <c r="AE139" s="26" t="s">
        <v>3025</v>
      </c>
      <c r="AF139" s="26" t="s">
        <v>3025</v>
      </c>
      <c r="AG139" s="26" t="s">
        <v>2989</v>
      </c>
      <c r="AI139" s="26" t="s">
        <v>167</v>
      </c>
      <c r="AJ139" s="26" t="s">
        <v>2990</v>
      </c>
      <c r="AK139" s="26" t="s">
        <v>2991</v>
      </c>
      <c r="AM139" s="26" t="s">
        <v>2328</v>
      </c>
      <c r="AN139" s="26" t="s">
        <v>172</v>
      </c>
      <c r="AO139" s="26" t="s">
        <v>875</v>
      </c>
      <c r="AP139" s="26" t="s">
        <v>162</v>
      </c>
      <c r="AQ139" s="26" t="s">
        <v>2995</v>
      </c>
      <c r="AR139" s="26" t="s">
        <v>2996</v>
      </c>
      <c r="AS139" s="26" t="s">
        <v>909</v>
      </c>
      <c r="AU139" s="26" t="s">
        <v>2997</v>
      </c>
      <c r="AV139" s="26" t="s">
        <v>2998</v>
      </c>
      <c r="AX139" s="26" t="s">
        <v>3026</v>
      </c>
      <c r="AY139" s="26" t="s">
        <v>179</v>
      </c>
      <c r="AZ139" s="26" t="s">
        <v>3000</v>
      </c>
      <c r="BA139" s="26" t="s">
        <v>162</v>
      </c>
      <c r="BC139" s="26" t="s">
        <v>2982</v>
      </c>
      <c r="BD139" s="26" t="s">
        <v>180</v>
      </c>
      <c r="BE139" s="26" t="s">
        <v>181</v>
      </c>
      <c r="BF139" s="26" t="s">
        <v>167</v>
      </c>
      <c r="BH139" s="26" t="s">
        <v>162</v>
      </c>
      <c r="BI139" s="26" t="s">
        <v>182</v>
      </c>
      <c r="BJ139" s="26" t="s">
        <v>3027</v>
      </c>
      <c r="BK139" s="26" t="s">
        <v>3001</v>
      </c>
      <c r="BL139" s="26" t="s">
        <v>185</v>
      </c>
      <c r="BM139" s="26" t="s">
        <v>186</v>
      </c>
      <c r="BN139" s="26" t="s">
        <v>162</v>
      </c>
      <c r="BP139" s="26">
        <v>0</v>
      </c>
      <c r="BQ139" s="26" t="s">
        <v>353</v>
      </c>
      <c r="BS139" s="26" t="s">
        <v>354</v>
      </c>
      <c r="BT139" s="26" t="s">
        <v>185</v>
      </c>
      <c r="BV139" s="26">
        <v>27.0886</v>
      </c>
      <c r="BW139" s="26">
        <v>0.14</v>
      </c>
      <c r="BZ139" s="26">
        <v>0</v>
      </c>
      <c r="CA139" s="26" t="s">
        <v>189</v>
      </c>
      <c r="CC139" s="26" t="s">
        <v>162</v>
      </c>
      <c r="CD139" s="26">
        <v>0</v>
      </c>
      <c r="CE139" s="26" t="s">
        <v>190</v>
      </c>
      <c r="CF139" s="26" t="s">
        <v>415</v>
      </c>
      <c r="CG139" s="26" t="s">
        <v>3028</v>
      </c>
      <c r="CI139" s="26" t="s">
        <v>232</v>
      </c>
      <c r="CJ139" s="26">
        <v>193.49</v>
      </c>
      <c r="CK139" s="26">
        <v>0</v>
      </c>
      <c r="CL139" s="26">
        <v>9.67</v>
      </c>
      <c r="CM139" s="26">
        <v>52.14</v>
      </c>
      <c r="CQ139" s="26" t="s">
        <v>605</v>
      </c>
      <c r="CR139" s="26" t="s">
        <v>3003</v>
      </c>
      <c r="CS139" s="26" t="s">
        <v>3004</v>
      </c>
      <c r="CW139" s="26" t="s">
        <v>3029</v>
      </c>
      <c r="CX139" s="26" t="s">
        <v>162</v>
      </c>
      <c r="CY139" s="26" t="s">
        <v>196</v>
      </c>
      <c r="CZ139" s="26">
        <v>0</v>
      </c>
      <c r="DB139" s="26">
        <v>0</v>
      </c>
      <c r="DK139" s="26" t="s">
        <v>150</v>
      </c>
      <c r="DL139" s="26" t="s">
        <v>390</v>
      </c>
      <c r="DM139" s="26" t="s">
        <v>3006</v>
      </c>
      <c r="DN139" s="26" t="s">
        <v>3007</v>
      </c>
      <c r="DO139" s="26" t="s">
        <v>2941</v>
      </c>
      <c r="DP139" s="26" t="s">
        <v>3008</v>
      </c>
      <c r="DR139" s="26" t="s">
        <v>189</v>
      </c>
      <c r="DS139" s="26" t="s">
        <v>189</v>
      </c>
      <c r="DT139" s="26" t="s">
        <v>189</v>
      </c>
      <c r="DU139" s="26" t="s">
        <v>189</v>
      </c>
      <c r="DV139" s="26" t="s">
        <v>203</v>
      </c>
      <c r="DW139" s="26" t="s">
        <v>162</v>
      </c>
      <c r="DX139" s="26" t="s">
        <v>162</v>
      </c>
      <c r="DY139" s="26">
        <v>0</v>
      </c>
      <c r="DZ139" s="26" t="s">
        <v>150</v>
      </c>
      <c r="EH139" s="26" t="s">
        <v>189</v>
      </c>
      <c r="EI139" s="26">
        <v>0.14</v>
      </c>
      <c r="EJ139" s="26">
        <v>27.0886</v>
      </c>
      <c r="EK139" s="26">
        <v>52.14</v>
      </c>
      <c r="EL139" s="26" t="s">
        <v>3030</v>
      </c>
      <c r="EM139" s="26" t="s">
        <v>206</v>
      </c>
      <c r="EN139" s="26" t="s">
        <v>207</v>
      </c>
    </row>
    <row r="140" spans="1:144">
      <c r="A140" s="26" t="s">
        <v>145</v>
      </c>
      <c r="B140" s="26" t="s">
        <v>763</v>
      </c>
      <c r="C140" s="26" t="s">
        <v>2982</v>
      </c>
      <c r="D140" s="26" t="s">
        <v>148</v>
      </c>
      <c r="E140" s="26" t="s">
        <v>149</v>
      </c>
      <c r="F140" s="26" t="s">
        <v>152</v>
      </c>
      <c r="G140" s="26" t="s">
        <v>151</v>
      </c>
      <c r="H140" s="26" t="s">
        <v>152</v>
      </c>
      <c r="I140" s="26" t="s">
        <v>153</v>
      </c>
      <c r="J140" s="26" t="s">
        <v>154</v>
      </c>
      <c r="K140" s="26" t="s">
        <v>209</v>
      </c>
      <c r="L140" s="26" t="s">
        <v>210</v>
      </c>
      <c r="M140" s="26" t="s">
        <v>2983</v>
      </c>
      <c r="O140" s="26" t="s">
        <v>3031</v>
      </c>
      <c r="P140" s="26" t="s">
        <v>3032</v>
      </c>
      <c r="S140" s="26" t="s">
        <v>376</v>
      </c>
      <c r="T140" s="26">
        <v>187.330272</v>
      </c>
      <c r="U140" s="26" t="s">
        <v>217</v>
      </c>
      <c r="V140" s="26" t="s">
        <v>150</v>
      </c>
      <c r="Y140" s="26" t="s">
        <v>2988</v>
      </c>
      <c r="Z140" s="26">
        <v>34.03988232</v>
      </c>
      <c r="AA140" s="26">
        <v>0</v>
      </c>
      <c r="AB140" s="26">
        <v>0</v>
      </c>
      <c r="AC140" s="26">
        <v>33</v>
      </c>
      <c r="AD140" s="26" t="s">
        <v>3025</v>
      </c>
      <c r="AE140" s="26" t="s">
        <v>3025</v>
      </c>
      <c r="AF140" s="26" t="s">
        <v>3025</v>
      </c>
      <c r="AG140" s="26" t="s">
        <v>2989</v>
      </c>
      <c r="AI140" s="26" t="s">
        <v>167</v>
      </c>
      <c r="AJ140" s="26" t="s">
        <v>2990</v>
      </c>
      <c r="AK140" s="26" t="s">
        <v>2991</v>
      </c>
      <c r="AM140" s="26" t="s">
        <v>932</v>
      </c>
      <c r="AN140" s="26" t="s">
        <v>172</v>
      </c>
      <c r="AO140" s="26" t="s">
        <v>875</v>
      </c>
      <c r="AP140" s="26" t="s">
        <v>162</v>
      </c>
      <c r="AQ140" s="26" t="s">
        <v>2995</v>
      </c>
      <c r="AR140" s="26" t="s">
        <v>2996</v>
      </c>
      <c r="AS140" s="26" t="s">
        <v>909</v>
      </c>
      <c r="AU140" s="26" t="s">
        <v>2997</v>
      </c>
      <c r="AV140" s="26" t="s">
        <v>2998</v>
      </c>
      <c r="AX140" s="26" t="s">
        <v>3026</v>
      </c>
      <c r="AY140" s="26" t="s">
        <v>179</v>
      </c>
      <c r="AZ140" s="26" t="s">
        <v>3000</v>
      </c>
      <c r="BA140" s="26" t="s">
        <v>162</v>
      </c>
      <c r="BC140" s="26" t="s">
        <v>2982</v>
      </c>
      <c r="BD140" s="26" t="s">
        <v>180</v>
      </c>
      <c r="BE140" s="26" t="s">
        <v>181</v>
      </c>
      <c r="BF140" s="26" t="s">
        <v>167</v>
      </c>
      <c r="BH140" s="26" t="s">
        <v>162</v>
      </c>
      <c r="BI140" s="26" t="s">
        <v>182</v>
      </c>
      <c r="BJ140" s="26" t="s">
        <v>3027</v>
      </c>
      <c r="BK140" s="26" t="s">
        <v>3001</v>
      </c>
      <c r="BL140" s="26" t="s">
        <v>185</v>
      </c>
      <c r="BM140" s="26" t="s">
        <v>186</v>
      </c>
      <c r="BN140" s="26" t="s">
        <v>162</v>
      </c>
      <c r="BP140" s="26">
        <v>0</v>
      </c>
      <c r="BQ140" s="26" t="s">
        <v>353</v>
      </c>
      <c r="BS140" s="26" t="s">
        <v>354</v>
      </c>
      <c r="BT140" s="26" t="s">
        <v>185</v>
      </c>
      <c r="BV140" s="26">
        <v>27.0886</v>
      </c>
      <c r="BW140" s="26">
        <v>0.14</v>
      </c>
      <c r="BZ140" s="26">
        <v>0</v>
      </c>
      <c r="CA140" s="26" t="s">
        <v>189</v>
      </c>
      <c r="CC140" s="26" t="s">
        <v>162</v>
      </c>
      <c r="CD140" s="26">
        <v>0</v>
      </c>
      <c r="CE140" s="26" t="s">
        <v>190</v>
      </c>
      <c r="CF140" s="26" t="s">
        <v>195</v>
      </c>
      <c r="CG140" s="26" t="s">
        <v>3033</v>
      </c>
      <c r="CI140" s="26" t="s">
        <v>232</v>
      </c>
      <c r="CJ140" s="26">
        <v>193.49</v>
      </c>
      <c r="CK140" s="26">
        <v>0</v>
      </c>
      <c r="CL140" s="26">
        <v>9.67</v>
      </c>
      <c r="CM140" s="26">
        <v>52.14</v>
      </c>
      <c r="CQ140" s="26" t="s">
        <v>605</v>
      </c>
      <c r="CR140" s="26" t="s">
        <v>3003</v>
      </c>
      <c r="CS140" s="26" t="s">
        <v>3004</v>
      </c>
      <c r="CW140" s="26" t="s">
        <v>3029</v>
      </c>
      <c r="CX140" s="26" t="s">
        <v>162</v>
      </c>
      <c r="CY140" s="26" t="s">
        <v>196</v>
      </c>
      <c r="CZ140" s="26">
        <v>0</v>
      </c>
      <c r="DB140" s="26">
        <v>0</v>
      </c>
      <c r="DK140" s="26" t="s">
        <v>150</v>
      </c>
      <c r="DL140" s="26" t="s">
        <v>390</v>
      </c>
      <c r="DM140" s="26" t="s">
        <v>3006</v>
      </c>
      <c r="DN140" s="26" t="s">
        <v>3007</v>
      </c>
      <c r="DO140" s="26" t="s">
        <v>2941</v>
      </c>
      <c r="DP140" s="26" t="s">
        <v>3008</v>
      </c>
      <c r="DR140" s="26" t="s">
        <v>189</v>
      </c>
      <c r="DS140" s="26" t="s">
        <v>189</v>
      </c>
      <c r="DT140" s="26" t="s">
        <v>189</v>
      </c>
      <c r="DU140" s="26" t="s">
        <v>189</v>
      </c>
      <c r="DV140" s="26" t="s">
        <v>203</v>
      </c>
      <c r="DW140" s="26" t="s">
        <v>162</v>
      </c>
      <c r="DX140" s="26" t="s">
        <v>162</v>
      </c>
      <c r="DY140" s="26">
        <v>0</v>
      </c>
      <c r="DZ140" s="26" t="s">
        <v>150</v>
      </c>
      <c r="EH140" s="26" t="s">
        <v>189</v>
      </c>
      <c r="EI140" s="26">
        <v>0.14</v>
      </c>
      <c r="EJ140" s="26">
        <v>27.0886</v>
      </c>
      <c r="EK140" s="26">
        <v>52.14</v>
      </c>
      <c r="EL140" s="26" t="s">
        <v>3034</v>
      </c>
      <c r="EM140" s="26" t="s">
        <v>206</v>
      </c>
      <c r="EN140" s="26" t="s">
        <v>207</v>
      </c>
    </row>
    <row r="141" spans="1:144">
      <c r="A141" s="26" t="s">
        <v>145</v>
      </c>
      <c r="B141" s="26" t="s">
        <v>763</v>
      </c>
      <c r="C141" s="26" t="s">
        <v>2982</v>
      </c>
      <c r="D141" s="26" t="s">
        <v>148</v>
      </c>
      <c r="E141" s="26" t="s">
        <v>149</v>
      </c>
      <c r="F141" s="26" t="s">
        <v>152</v>
      </c>
      <c r="G141" s="26" t="s">
        <v>151</v>
      </c>
      <c r="H141" s="26" t="s">
        <v>152</v>
      </c>
      <c r="I141" s="26" t="s">
        <v>153</v>
      </c>
      <c r="J141" s="26" t="s">
        <v>154</v>
      </c>
      <c r="K141" s="26" t="s">
        <v>209</v>
      </c>
      <c r="L141" s="26" t="s">
        <v>210</v>
      </c>
      <c r="M141" s="26" t="s">
        <v>2983</v>
      </c>
      <c r="O141" s="26" t="s">
        <v>3035</v>
      </c>
      <c r="P141" s="26" t="s">
        <v>3036</v>
      </c>
      <c r="S141" s="26" t="s">
        <v>3037</v>
      </c>
      <c r="T141" s="26">
        <v>272.779168</v>
      </c>
      <c r="U141" s="26" t="s">
        <v>217</v>
      </c>
      <c r="V141" s="26" t="s">
        <v>150</v>
      </c>
      <c r="Y141" s="26" t="s">
        <v>2988</v>
      </c>
      <c r="Z141" s="26">
        <v>34.03988232</v>
      </c>
      <c r="AA141" s="26">
        <v>0</v>
      </c>
      <c r="AB141" s="26">
        <v>0</v>
      </c>
      <c r="AC141" s="26">
        <v>49</v>
      </c>
      <c r="AD141" s="26" t="s">
        <v>219</v>
      </c>
      <c r="AE141" s="26" t="s">
        <v>219</v>
      </c>
      <c r="AF141" s="26" t="s">
        <v>219</v>
      </c>
      <c r="AG141" s="26" t="s">
        <v>2989</v>
      </c>
      <c r="AI141" s="26" t="s">
        <v>167</v>
      </c>
      <c r="AJ141" s="26" t="s">
        <v>2990</v>
      </c>
      <c r="AK141" s="26" t="s">
        <v>2991</v>
      </c>
      <c r="AM141" s="26" t="s">
        <v>3038</v>
      </c>
      <c r="AN141" s="26" t="s">
        <v>172</v>
      </c>
      <c r="AO141" s="26" t="s">
        <v>223</v>
      </c>
      <c r="AP141" s="26" t="s">
        <v>162</v>
      </c>
      <c r="AQ141" s="26" t="s">
        <v>2995</v>
      </c>
      <c r="AR141" s="26" t="s">
        <v>2996</v>
      </c>
      <c r="AS141" s="26" t="s">
        <v>662</v>
      </c>
      <c r="AT141" s="26" t="s">
        <v>1921</v>
      </c>
      <c r="AU141" s="26" t="s">
        <v>2997</v>
      </c>
      <c r="AV141" s="26" t="s">
        <v>2998</v>
      </c>
      <c r="AX141" s="26" t="s">
        <v>3039</v>
      </c>
      <c r="AY141" s="26" t="s">
        <v>179</v>
      </c>
      <c r="AZ141" s="26" t="s">
        <v>3000</v>
      </c>
      <c r="BA141" s="26" t="s">
        <v>162</v>
      </c>
      <c r="BC141" s="26" t="s">
        <v>2982</v>
      </c>
      <c r="BD141" s="26" t="s">
        <v>180</v>
      </c>
      <c r="BE141" s="26" t="s">
        <v>181</v>
      </c>
      <c r="BF141" s="26" t="s">
        <v>167</v>
      </c>
      <c r="BH141" s="26" t="s">
        <v>162</v>
      </c>
      <c r="BI141" s="26" t="s">
        <v>182</v>
      </c>
      <c r="BJ141" s="26" t="s">
        <v>3040</v>
      </c>
      <c r="BK141" s="26" t="s">
        <v>3001</v>
      </c>
      <c r="BL141" s="26" t="s">
        <v>185</v>
      </c>
      <c r="BM141" s="26" t="s">
        <v>186</v>
      </c>
      <c r="BN141" s="26" t="s">
        <v>162</v>
      </c>
      <c r="BP141" s="26">
        <v>0</v>
      </c>
      <c r="BQ141" s="26" t="s">
        <v>223</v>
      </c>
      <c r="BS141" s="26" t="s">
        <v>230</v>
      </c>
      <c r="BT141" s="26" t="s">
        <v>185</v>
      </c>
      <c r="BV141" s="26">
        <v>39.0516</v>
      </c>
      <c r="BW141" s="26">
        <v>0.14</v>
      </c>
      <c r="BZ141" s="26">
        <v>0</v>
      </c>
      <c r="CA141" s="26" t="s">
        <v>189</v>
      </c>
      <c r="CC141" s="26" t="s">
        <v>162</v>
      </c>
      <c r="CD141" s="26">
        <v>0</v>
      </c>
      <c r="CE141" s="26" t="s">
        <v>190</v>
      </c>
      <c r="CF141" s="26" t="s">
        <v>305</v>
      </c>
      <c r="CG141" s="26" t="s">
        <v>3041</v>
      </c>
      <c r="CI141" s="26" t="s">
        <v>232</v>
      </c>
      <c r="CJ141" s="26">
        <v>278.94</v>
      </c>
      <c r="CK141" s="26">
        <v>0</v>
      </c>
      <c r="CL141" s="26">
        <v>13.95</v>
      </c>
      <c r="CM141" s="26">
        <v>105.6</v>
      </c>
      <c r="CQ141" s="26" t="s">
        <v>605</v>
      </c>
      <c r="CR141" s="26" t="s">
        <v>3003</v>
      </c>
      <c r="CS141" s="26" t="s">
        <v>3004</v>
      </c>
      <c r="CW141" s="26" t="s">
        <v>3042</v>
      </c>
      <c r="CX141" s="26" t="s">
        <v>162</v>
      </c>
      <c r="CY141" s="26" t="s">
        <v>196</v>
      </c>
      <c r="CZ141" s="26">
        <v>0</v>
      </c>
      <c r="DB141" s="26">
        <v>0</v>
      </c>
      <c r="DK141" s="26" t="s">
        <v>150</v>
      </c>
      <c r="DL141" s="26" t="s">
        <v>390</v>
      </c>
      <c r="DM141" s="26" t="s">
        <v>3006</v>
      </c>
      <c r="DN141" s="26" t="s">
        <v>3007</v>
      </c>
      <c r="DO141" s="26" t="s">
        <v>2941</v>
      </c>
      <c r="DP141" s="26" t="s">
        <v>3008</v>
      </c>
      <c r="DR141" s="26" t="s">
        <v>189</v>
      </c>
      <c r="DS141" s="26" t="s">
        <v>189</v>
      </c>
      <c r="DT141" s="26" t="s">
        <v>189</v>
      </c>
      <c r="DU141" s="26" t="s">
        <v>189</v>
      </c>
      <c r="DV141" s="26" t="s">
        <v>203</v>
      </c>
      <c r="DW141" s="26" t="s">
        <v>162</v>
      </c>
      <c r="DX141" s="26" t="s">
        <v>162</v>
      </c>
      <c r="DY141" s="26">
        <v>0</v>
      </c>
      <c r="DZ141" s="26" t="s">
        <v>150</v>
      </c>
      <c r="EA141" s="26" t="s">
        <v>470</v>
      </c>
      <c r="EB141" s="26" t="s">
        <v>471</v>
      </c>
      <c r="EH141" s="26" t="s">
        <v>189</v>
      </c>
      <c r="EI141" s="26">
        <v>0.14</v>
      </c>
      <c r="EJ141" s="26">
        <v>39.0516</v>
      </c>
      <c r="EK141" s="26">
        <v>105.6</v>
      </c>
      <c r="EL141" s="26" t="s">
        <v>3043</v>
      </c>
      <c r="EM141" s="26" t="s">
        <v>206</v>
      </c>
      <c r="EN141" s="26" t="s">
        <v>207</v>
      </c>
    </row>
    <row r="142" spans="1:144">
      <c r="A142" s="26" t="s">
        <v>145</v>
      </c>
      <c r="B142" s="26" t="s">
        <v>763</v>
      </c>
      <c r="C142" s="26" t="s">
        <v>2982</v>
      </c>
      <c r="D142" s="26" t="s">
        <v>148</v>
      </c>
      <c r="E142" s="26" t="s">
        <v>149</v>
      </c>
      <c r="F142" s="26" t="s">
        <v>152</v>
      </c>
      <c r="G142" s="26" t="s">
        <v>151</v>
      </c>
      <c r="H142" s="26" t="s">
        <v>152</v>
      </c>
      <c r="I142" s="26" t="s">
        <v>153</v>
      </c>
      <c r="J142" s="26" t="s">
        <v>154</v>
      </c>
      <c r="K142" s="26" t="s">
        <v>209</v>
      </c>
      <c r="L142" s="26" t="s">
        <v>210</v>
      </c>
      <c r="M142" s="26" t="s">
        <v>2983</v>
      </c>
      <c r="O142" s="26" t="s">
        <v>3044</v>
      </c>
      <c r="P142" s="26" t="s">
        <v>3045</v>
      </c>
      <c r="S142" s="26" t="s">
        <v>3038</v>
      </c>
      <c r="T142" s="26">
        <v>268.671048</v>
      </c>
      <c r="U142" s="26" t="s">
        <v>217</v>
      </c>
      <c r="V142" s="26" t="s">
        <v>150</v>
      </c>
      <c r="Y142" s="26" t="s">
        <v>2988</v>
      </c>
      <c r="Z142" s="26">
        <v>34.03988232</v>
      </c>
      <c r="AA142" s="26">
        <v>0</v>
      </c>
      <c r="AB142" s="26">
        <v>0</v>
      </c>
      <c r="AC142" s="26">
        <v>49</v>
      </c>
      <c r="AD142" s="26" t="s">
        <v>219</v>
      </c>
      <c r="AE142" s="26" t="s">
        <v>219</v>
      </c>
      <c r="AF142" s="26" t="s">
        <v>219</v>
      </c>
      <c r="AG142" s="26" t="s">
        <v>2989</v>
      </c>
      <c r="AI142" s="26" t="s">
        <v>167</v>
      </c>
      <c r="AJ142" s="26" t="s">
        <v>2990</v>
      </c>
      <c r="AK142" s="26" t="s">
        <v>2991</v>
      </c>
      <c r="AM142" s="26" t="s">
        <v>3046</v>
      </c>
      <c r="AN142" s="26" t="s">
        <v>172</v>
      </c>
      <c r="AO142" s="26" t="s">
        <v>223</v>
      </c>
      <c r="AP142" s="26" t="s">
        <v>162</v>
      </c>
      <c r="AQ142" s="26" t="s">
        <v>2995</v>
      </c>
      <c r="AR142" s="26" t="s">
        <v>2996</v>
      </c>
      <c r="AS142" s="26" t="s">
        <v>662</v>
      </c>
      <c r="AT142" s="26" t="s">
        <v>1921</v>
      </c>
      <c r="AU142" s="26" t="s">
        <v>2997</v>
      </c>
      <c r="AV142" s="26" t="s">
        <v>2998</v>
      </c>
      <c r="AX142" s="26" t="s">
        <v>3047</v>
      </c>
      <c r="AY142" s="26" t="s">
        <v>179</v>
      </c>
      <c r="AZ142" s="26" t="s">
        <v>3000</v>
      </c>
      <c r="BA142" s="26" t="s">
        <v>162</v>
      </c>
      <c r="BC142" s="26" t="s">
        <v>2982</v>
      </c>
      <c r="BD142" s="26" t="s">
        <v>180</v>
      </c>
      <c r="BE142" s="26" t="s">
        <v>181</v>
      </c>
      <c r="BF142" s="26" t="s">
        <v>167</v>
      </c>
      <c r="BH142" s="26" t="s">
        <v>162</v>
      </c>
      <c r="BI142" s="26" t="s">
        <v>182</v>
      </c>
      <c r="BJ142" s="26" t="s">
        <v>3040</v>
      </c>
      <c r="BK142" s="26" t="s">
        <v>3001</v>
      </c>
      <c r="BL142" s="26" t="s">
        <v>185</v>
      </c>
      <c r="BM142" s="26" t="s">
        <v>186</v>
      </c>
      <c r="BN142" s="26" t="s">
        <v>162</v>
      </c>
      <c r="BP142" s="26">
        <v>0</v>
      </c>
      <c r="BQ142" s="26" t="s">
        <v>223</v>
      </c>
      <c r="BS142" s="26" t="s">
        <v>230</v>
      </c>
      <c r="BT142" s="26" t="s">
        <v>185</v>
      </c>
      <c r="BV142" s="26">
        <v>38.4762</v>
      </c>
      <c r="BW142" s="26">
        <v>0.14</v>
      </c>
      <c r="BZ142" s="26">
        <v>0</v>
      </c>
      <c r="CA142" s="26" t="s">
        <v>189</v>
      </c>
      <c r="CC142" s="26" t="s">
        <v>162</v>
      </c>
      <c r="CD142" s="26">
        <v>0</v>
      </c>
      <c r="CE142" s="26" t="s">
        <v>190</v>
      </c>
      <c r="CF142" s="26" t="s">
        <v>1977</v>
      </c>
      <c r="CG142" s="26" t="s">
        <v>3048</v>
      </c>
      <c r="CI142" s="26" t="s">
        <v>232</v>
      </c>
      <c r="CJ142" s="26">
        <v>274.83</v>
      </c>
      <c r="CK142" s="26">
        <v>0</v>
      </c>
      <c r="CL142" s="26">
        <v>13.74</v>
      </c>
      <c r="CM142" s="26">
        <v>102.27</v>
      </c>
      <c r="CQ142" s="26" t="s">
        <v>605</v>
      </c>
      <c r="CR142" s="26" t="s">
        <v>3003</v>
      </c>
      <c r="CS142" s="26" t="s">
        <v>3004</v>
      </c>
      <c r="CW142" s="26" t="s">
        <v>3049</v>
      </c>
      <c r="CX142" s="26" t="s">
        <v>162</v>
      </c>
      <c r="CY142" s="26" t="s">
        <v>196</v>
      </c>
      <c r="CZ142" s="26">
        <v>0</v>
      </c>
      <c r="DB142" s="26">
        <v>0</v>
      </c>
      <c r="DK142" s="26" t="s">
        <v>150</v>
      </c>
      <c r="DL142" s="26" t="s">
        <v>390</v>
      </c>
      <c r="DM142" s="26" t="s">
        <v>3006</v>
      </c>
      <c r="DN142" s="26" t="s">
        <v>3007</v>
      </c>
      <c r="DO142" s="26" t="s">
        <v>2941</v>
      </c>
      <c r="DP142" s="26" t="s">
        <v>3008</v>
      </c>
      <c r="DR142" s="26" t="s">
        <v>189</v>
      </c>
      <c r="DS142" s="26" t="s">
        <v>189</v>
      </c>
      <c r="DT142" s="26" t="s">
        <v>189</v>
      </c>
      <c r="DU142" s="26" t="s">
        <v>189</v>
      </c>
      <c r="DV142" s="26" t="s">
        <v>203</v>
      </c>
      <c r="DW142" s="26" t="s">
        <v>162</v>
      </c>
      <c r="DX142" s="26" t="s">
        <v>162</v>
      </c>
      <c r="DY142" s="26">
        <v>0</v>
      </c>
      <c r="DZ142" s="26" t="s">
        <v>150</v>
      </c>
      <c r="EA142" s="26" t="s">
        <v>470</v>
      </c>
      <c r="EB142" s="26" t="s">
        <v>471</v>
      </c>
      <c r="EH142" s="26" t="s">
        <v>189</v>
      </c>
      <c r="EI142" s="26">
        <v>0.14</v>
      </c>
      <c r="EJ142" s="26">
        <v>38.4762</v>
      </c>
      <c r="EK142" s="26">
        <v>102.27</v>
      </c>
      <c r="EL142" s="26" t="s">
        <v>3050</v>
      </c>
      <c r="EM142" s="26" t="s">
        <v>206</v>
      </c>
      <c r="EN142" s="26" t="s">
        <v>207</v>
      </c>
    </row>
    <row r="143" spans="1:144">
      <c r="A143" s="26" t="s">
        <v>145</v>
      </c>
      <c r="B143" s="26" t="s">
        <v>1556</v>
      </c>
      <c r="C143" s="26" t="s">
        <v>3051</v>
      </c>
      <c r="D143" s="26" t="s">
        <v>148</v>
      </c>
      <c r="E143" s="26" t="s">
        <v>149</v>
      </c>
      <c r="F143" s="26" t="s">
        <v>152</v>
      </c>
      <c r="G143" s="26" t="s">
        <v>151</v>
      </c>
      <c r="H143" s="26" t="s">
        <v>152</v>
      </c>
      <c r="I143" s="26" t="s">
        <v>153</v>
      </c>
      <c r="J143" s="26" t="s">
        <v>154</v>
      </c>
      <c r="K143" s="26" t="s">
        <v>474</v>
      </c>
      <c r="L143" s="26" t="s">
        <v>517</v>
      </c>
      <c r="M143" s="26" t="s">
        <v>3052</v>
      </c>
      <c r="N143" s="26" t="s">
        <v>3053</v>
      </c>
      <c r="O143" s="26" t="s">
        <v>3054</v>
      </c>
      <c r="P143" s="26" t="s">
        <v>3055</v>
      </c>
      <c r="Q143" s="26" t="s">
        <v>3056</v>
      </c>
      <c r="R143" s="26">
        <v>199.26478</v>
      </c>
      <c r="S143" s="26" t="s">
        <v>883</v>
      </c>
      <c r="T143" s="26">
        <v>193.21423</v>
      </c>
      <c r="U143" s="26" t="s">
        <v>217</v>
      </c>
      <c r="V143" s="26" t="s">
        <v>150</v>
      </c>
      <c r="Y143" s="26" t="s">
        <v>3057</v>
      </c>
      <c r="Z143" s="26">
        <v>29.889717</v>
      </c>
      <c r="AA143" s="26">
        <v>0</v>
      </c>
      <c r="AB143" s="26">
        <v>0</v>
      </c>
      <c r="AC143" s="26">
        <v>34</v>
      </c>
      <c r="AD143" s="26" t="s">
        <v>715</v>
      </c>
      <c r="AE143" s="26" t="s">
        <v>715</v>
      </c>
      <c r="AF143" s="26" t="s">
        <v>715</v>
      </c>
      <c r="AG143" s="26" t="s">
        <v>3058</v>
      </c>
      <c r="AH143" s="26" t="s">
        <v>630</v>
      </c>
      <c r="AI143" s="26" t="s">
        <v>167</v>
      </c>
      <c r="AJ143" s="26" t="s">
        <v>168</v>
      </c>
      <c r="AK143" s="26" t="s">
        <v>169</v>
      </c>
      <c r="AL143" s="26" t="s">
        <v>3059</v>
      </c>
      <c r="AM143" s="26" t="s">
        <v>444</v>
      </c>
      <c r="AN143" s="26" t="s">
        <v>172</v>
      </c>
      <c r="AO143" s="26" t="s">
        <v>3060</v>
      </c>
      <c r="AP143" s="26" t="s">
        <v>162</v>
      </c>
      <c r="AQ143" s="26" t="s">
        <v>3061</v>
      </c>
      <c r="AR143" s="26" t="s">
        <v>3062</v>
      </c>
      <c r="AS143" s="26" t="s">
        <v>433</v>
      </c>
      <c r="AT143" s="26" t="s">
        <v>463</v>
      </c>
      <c r="AU143" s="26" t="s">
        <v>3063</v>
      </c>
      <c r="AV143" s="26" t="s">
        <v>3063</v>
      </c>
      <c r="AX143" s="26" t="s">
        <v>3064</v>
      </c>
      <c r="AY143" s="26" t="s">
        <v>179</v>
      </c>
      <c r="BC143" s="26" t="s">
        <v>3051</v>
      </c>
      <c r="BD143" s="26" t="s">
        <v>180</v>
      </c>
      <c r="BE143" s="26" t="s">
        <v>181</v>
      </c>
      <c r="BF143" s="26" t="s">
        <v>167</v>
      </c>
      <c r="BH143" s="26" t="s">
        <v>162</v>
      </c>
      <c r="BI143" s="26" t="s">
        <v>182</v>
      </c>
      <c r="BJ143" s="26" t="s">
        <v>1610</v>
      </c>
      <c r="BK143" s="26" t="s">
        <v>184</v>
      </c>
      <c r="BL143" s="26" t="s">
        <v>185</v>
      </c>
      <c r="BM143" s="26" t="s">
        <v>186</v>
      </c>
      <c r="BN143" s="26" t="s">
        <v>162</v>
      </c>
      <c r="BP143" s="26">
        <v>0</v>
      </c>
      <c r="BQ143" s="26" t="s">
        <v>494</v>
      </c>
      <c r="BS143" s="26" t="s">
        <v>230</v>
      </c>
      <c r="BT143" s="26" t="s">
        <v>185</v>
      </c>
      <c r="BV143" s="26">
        <v>31.8816</v>
      </c>
      <c r="BW143" s="26">
        <v>0.16</v>
      </c>
      <c r="BZ143" s="26">
        <v>0</v>
      </c>
      <c r="CA143" s="26" t="s">
        <v>189</v>
      </c>
      <c r="CC143" s="26" t="s">
        <v>162</v>
      </c>
      <c r="CD143" s="26">
        <v>0</v>
      </c>
      <c r="CE143" s="26" t="s">
        <v>190</v>
      </c>
      <c r="CF143" s="26" t="s">
        <v>167</v>
      </c>
      <c r="CG143" s="26" t="s">
        <v>3065</v>
      </c>
      <c r="CI143" s="26" t="s">
        <v>496</v>
      </c>
      <c r="CJ143" s="26">
        <v>199.26</v>
      </c>
      <c r="CK143" s="26">
        <v>0</v>
      </c>
      <c r="CL143" s="26">
        <v>9.96</v>
      </c>
      <c r="CM143" s="26">
        <v>23.45</v>
      </c>
      <c r="CQ143" s="26" t="s">
        <v>437</v>
      </c>
      <c r="CR143" s="26" t="s">
        <v>3066</v>
      </c>
      <c r="CS143" s="26" t="s">
        <v>3067</v>
      </c>
      <c r="CW143" s="26" t="s">
        <v>3068</v>
      </c>
      <c r="CX143" s="26" t="s">
        <v>162</v>
      </c>
      <c r="CY143" s="26" t="s">
        <v>196</v>
      </c>
      <c r="CZ143" s="26">
        <v>0</v>
      </c>
      <c r="DB143" s="26">
        <v>0</v>
      </c>
      <c r="DK143" s="26" t="s">
        <v>150</v>
      </c>
      <c r="DL143" s="26" t="s">
        <v>1706</v>
      </c>
      <c r="DM143" s="26" t="s">
        <v>3069</v>
      </c>
      <c r="DN143" s="26" t="s">
        <v>3070</v>
      </c>
      <c r="DO143" s="26" t="s">
        <v>3071</v>
      </c>
      <c r="DP143" s="26" t="s">
        <v>3072</v>
      </c>
      <c r="DR143" s="26" t="s">
        <v>189</v>
      </c>
      <c r="DS143" s="26" t="s">
        <v>189</v>
      </c>
      <c r="DT143" s="26" t="s">
        <v>189</v>
      </c>
      <c r="DU143" s="26" t="s">
        <v>189</v>
      </c>
      <c r="DV143" s="26" t="s">
        <v>203</v>
      </c>
      <c r="DW143" s="26" t="s">
        <v>162</v>
      </c>
      <c r="DX143" s="26" t="s">
        <v>162</v>
      </c>
      <c r="DY143" s="26">
        <v>0</v>
      </c>
      <c r="DZ143" s="26" t="s">
        <v>150</v>
      </c>
      <c r="EA143" s="26" t="s">
        <v>470</v>
      </c>
      <c r="EB143" s="26" t="s">
        <v>471</v>
      </c>
      <c r="EH143" s="26" t="s">
        <v>189</v>
      </c>
      <c r="EI143" s="26">
        <v>0.16</v>
      </c>
      <c r="EJ143" s="26">
        <v>31.8816</v>
      </c>
      <c r="EK143" s="26">
        <v>23.45</v>
      </c>
      <c r="EL143" s="26" t="s">
        <v>3073</v>
      </c>
      <c r="EM143" s="26" t="s">
        <v>206</v>
      </c>
      <c r="EN143" s="26" t="s">
        <v>207</v>
      </c>
    </row>
    <row r="144" spans="1:144">
      <c r="A144" s="26" t="s">
        <v>145</v>
      </c>
      <c r="B144" s="26" t="s">
        <v>1556</v>
      </c>
      <c r="C144" s="26" t="s">
        <v>3074</v>
      </c>
      <c r="D144" s="26" t="s">
        <v>148</v>
      </c>
      <c r="E144" s="26" t="s">
        <v>149</v>
      </c>
      <c r="F144" s="26" t="s">
        <v>152</v>
      </c>
      <c r="G144" s="26" t="s">
        <v>151</v>
      </c>
      <c r="H144" s="26" t="s">
        <v>152</v>
      </c>
      <c r="I144" s="26" t="s">
        <v>153</v>
      </c>
      <c r="J144" s="26" t="s">
        <v>154</v>
      </c>
      <c r="K144" s="26" t="s">
        <v>1075</v>
      </c>
      <c r="L144" s="26" t="s">
        <v>2426</v>
      </c>
      <c r="M144" s="26" t="s">
        <v>3075</v>
      </c>
      <c r="N144" s="26" t="s">
        <v>3076</v>
      </c>
      <c r="O144" s="26" t="s">
        <v>3077</v>
      </c>
      <c r="P144" s="26" t="s">
        <v>3078</v>
      </c>
      <c r="Q144" s="26" t="s">
        <v>800</v>
      </c>
      <c r="R144" s="26">
        <v>139.56602</v>
      </c>
      <c r="S144" s="26" t="s">
        <v>3079</v>
      </c>
      <c r="T144" s="26">
        <v>76.6403</v>
      </c>
      <c r="U144" s="26" t="s">
        <v>217</v>
      </c>
      <c r="V144" s="26" t="s">
        <v>150</v>
      </c>
      <c r="Y144" s="26" t="s">
        <v>3080</v>
      </c>
      <c r="Z144" s="26">
        <v>10.4674515</v>
      </c>
      <c r="AA144" s="26">
        <v>0</v>
      </c>
      <c r="AB144" s="26">
        <v>0</v>
      </c>
      <c r="AC144" s="26">
        <v>17</v>
      </c>
      <c r="AD144" s="26" t="s">
        <v>3081</v>
      </c>
      <c r="AE144" s="26" t="s">
        <v>3082</v>
      </c>
      <c r="AF144" s="26" t="s">
        <v>3082</v>
      </c>
      <c r="AG144" s="26" t="s">
        <v>3083</v>
      </c>
      <c r="AI144" s="26" t="s">
        <v>167</v>
      </c>
      <c r="AJ144" s="26" t="s">
        <v>168</v>
      </c>
      <c r="AK144" s="26" t="s">
        <v>169</v>
      </c>
      <c r="AL144" s="26" t="s">
        <v>2196</v>
      </c>
      <c r="AM144" s="26" t="s">
        <v>3084</v>
      </c>
      <c r="AN144" s="26" t="s">
        <v>172</v>
      </c>
      <c r="AO144" s="26" t="s">
        <v>3085</v>
      </c>
      <c r="AP144" s="26" t="s">
        <v>162</v>
      </c>
      <c r="AQ144" s="26" t="s">
        <v>3086</v>
      </c>
      <c r="AR144" s="26" t="s">
        <v>3087</v>
      </c>
      <c r="AS144" s="26" t="s">
        <v>349</v>
      </c>
      <c r="AU144" s="26" t="s">
        <v>3088</v>
      </c>
      <c r="AV144" s="26" t="s">
        <v>3088</v>
      </c>
      <c r="AX144" s="26" t="s">
        <v>3089</v>
      </c>
      <c r="AY144" s="26" t="s">
        <v>179</v>
      </c>
      <c r="BC144" s="26" t="s">
        <v>3074</v>
      </c>
      <c r="BD144" s="26" t="s">
        <v>180</v>
      </c>
      <c r="BE144" s="26" t="s">
        <v>1007</v>
      </c>
      <c r="BF144" s="26" t="s">
        <v>195</v>
      </c>
      <c r="BH144" s="26" t="s">
        <v>2667</v>
      </c>
      <c r="BI144" s="26" t="s">
        <v>182</v>
      </c>
      <c r="BJ144" s="26" t="s">
        <v>352</v>
      </c>
      <c r="BK144" s="26" t="s">
        <v>264</v>
      </c>
      <c r="BL144" s="26" t="s">
        <v>185</v>
      </c>
      <c r="BM144" s="26" t="s">
        <v>186</v>
      </c>
      <c r="BN144" s="26" t="s">
        <v>162</v>
      </c>
      <c r="BP144" s="26">
        <v>0</v>
      </c>
      <c r="BQ144" s="26" t="s">
        <v>494</v>
      </c>
      <c r="BS144" s="26" t="s">
        <v>230</v>
      </c>
      <c r="BT144" s="26" t="s">
        <v>185</v>
      </c>
      <c r="BV144" s="26">
        <v>11.5766</v>
      </c>
      <c r="BW144" s="26">
        <v>0.14</v>
      </c>
      <c r="BZ144" s="26">
        <v>0</v>
      </c>
      <c r="CA144" s="26" t="s">
        <v>189</v>
      </c>
      <c r="CC144" s="26" t="s">
        <v>162</v>
      </c>
      <c r="CD144" s="26">
        <v>0</v>
      </c>
      <c r="CE144" s="26" t="s">
        <v>190</v>
      </c>
      <c r="CF144" s="26" t="s">
        <v>167</v>
      </c>
      <c r="CG144" s="26" t="s">
        <v>3090</v>
      </c>
      <c r="CI144" s="26" t="s">
        <v>1095</v>
      </c>
      <c r="CJ144" s="26">
        <v>82.69</v>
      </c>
      <c r="CK144" s="26">
        <v>0</v>
      </c>
      <c r="CL144" s="26">
        <v>4.13</v>
      </c>
      <c r="CM144" s="26">
        <v>25.29</v>
      </c>
      <c r="CQ144" s="26" t="s">
        <v>192</v>
      </c>
      <c r="CR144" s="26" t="s">
        <v>2206</v>
      </c>
      <c r="CS144" s="26" t="s">
        <v>3091</v>
      </c>
      <c r="CW144" s="26" t="s">
        <v>3092</v>
      </c>
      <c r="CX144" s="26" t="s">
        <v>167</v>
      </c>
      <c r="CY144" s="26" t="s">
        <v>196</v>
      </c>
      <c r="CZ144" s="26">
        <v>0</v>
      </c>
      <c r="DB144" s="26">
        <v>0</v>
      </c>
      <c r="DK144" s="26" t="s">
        <v>150</v>
      </c>
      <c r="DL144" s="26" t="s">
        <v>581</v>
      </c>
      <c r="DM144" s="26" t="s">
        <v>3093</v>
      </c>
      <c r="DN144" s="26" t="s">
        <v>3094</v>
      </c>
      <c r="DO144" s="26" t="s">
        <v>3071</v>
      </c>
      <c r="DR144" s="26" t="s">
        <v>189</v>
      </c>
      <c r="DS144" s="26" t="s">
        <v>189</v>
      </c>
      <c r="DT144" s="26" t="s">
        <v>189</v>
      </c>
      <c r="DU144" s="26" t="s">
        <v>189</v>
      </c>
      <c r="DV144" s="26" t="s">
        <v>203</v>
      </c>
      <c r="DW144" s="26" t="s">
        <v>162</v>
      </c>
      <c r="DX144" s="26" t="s">
        <v>162</v>
      </c>
      <c r="DY144" s="26">
        <v>0</v>
      </c>
      <c r="DZ144" s="26" t="s">
        <v>150</v>
      </c>
      <c r="EH144" s="26" t="s">
        <v>189</v>
      </c>
      <c r="EI144" s="26">
        <v>0.14</v>
      </c>
      <c r="EJ144" s="26">
        <v>11.5766</v>
      </c>
      <c r="EK144" s="26">
        <v>25.29</v>
      </c>
      <c r="EL144" s="26" t="s">
        <v>3095</v>
      </c>
      <c r="EM144" s="26" t="s">
        <v>206</v>
      </c>
      <c r="EN144" s="26" t="s">
        <v>207</v>
      </c>
    </row>
    <row r="145" spans="1:144">
      <c r="A145" s="26" t="s">
        <v>145</v>
      </c>
      <c r="B145" s="26" t="s">
        <v>1556</v>
      </c>
      <c r="C145" s="26" t="s">
        <v>3074</v>
      </c>
      <c r="D145" s="26" t="s">
        <v>148</v>
      </c>
      <c r="E145" s="26" t="s">
        <v>149</v>
      </c>
      <c r="F145" s="26" t="s">
        <v>152</v>
      </c>
      <c r="G145" s="26" t="s">
        <v>151</v>
      </c>
      <c r="H145" s="26" t="s">
        <v>152</v>
      </c>
      <c r="I145" s="26" t="s">
        <v>153</v>
      </c>
      <c r="J145" s="26" t="s">
        <v>154</v>
      </c>
      <c r="K145" s="26" t="s">
        <v>1075</v>
      </c>
      <c r="L145" s="26" t="s">
        <v>2426</v>
      </c>
      <c r="M145" s="26" t="s">
        <v>3075</v>
      </c>
      <c r="O145" s="26" t="s">
        <v>3096</v>
      </c>
      <c r="P145" s="26" t="s">
        <v>3097</v>
      </c>
      <c r="S145" s="26" t="s">
        <v>3098</v>
      </c>
      <c r="T145" s="26">
        <v>50.82462</v>
      </c>
      <c r="U145" s="26" t="s">
        <v>217</v>
      </c>
      <c r="V145" s="26" t="s">
        <v>150</v>
      </c>
      <c r="Y145" s="26" t="s">
        <v>3080</v>
      </c>
      <c r="Z145" s="26">
        <v>10.4674515</v>
      </c>
      <c r="AA145" s="26">
        <v>0</v>
      </c>
      <c r="AB145" s="26">
        <v>0</v>
      </c>
      <c r="AC145" s="26">
        <v>4.5</v>
      </c>
      <c r="AD145" s="26" t="s">
        <v>2900</v>
      </c>
      <c r="AE145" s="26" t="s">
        <v>2900</v>
      </c>
      <c r="AF145" s="26" t="s">
        <v>2900</v>
      </c>
      <c r="AG145" s="26" t="s">
        <v>3099</v>
      </c>
      <c r="AI145" s="26" t="s">
        <v>167</v>
      </c>
      <c r="AJ145" s="26" t="s">
        <v>168</v>
      </c>
      <c r="AK145" s="26" t="s">
        <v>169</v>
      </c>
      <c r="AM145" s="26" t="s">
        <v>3100</v>
      </c>
      <c r="AN145" s="26" t="s">
        <v>172</v>
      </c>
      <c r="AO145" s="26" t="s">
        <v>257</v>
      </c>
      <c r="AP145" s="26" t="s">
        <v>162</v>
      </c>
      <c r="AQ145" s="26" t="s">
        <v>3086</v>
      </c>
      <c r="AR145" s="26" t="s">
        <v>3087</v>
      </c>
      <c r="AS145" s="26" t="s">
        <v>859</v>
      </c>
      <c r="AT145" s="26" t="s">
        <v>3101</v>
      </c>
      <c r="AU145" s="26" t="s">
        <v>3088</v>
      </c>
      <c r="AV145" s="26" t="s">
        <v>3088</v>
      </c>
      <c r="AX145" s="26" t="s">
        <v>3102</v>
      </c>
      <c r="AY145" s="26" t="s">
        <v>179</v>
      </c>
      <c r="BC145" s="26" t="s">
        <v>3074</v>
      </c>
      <c r="BD145" s="26" t="s">
        <v>180</v>
      </c>
      <c r="BE145" s="26" t="s">
        <v>181</v>
      </c>
      <c r="BF145" s="26" t="s">
        <v>195</v>
      </c>
      <c r="BH145" s="26" t="s">
        <v>2667</v>
      </c>
      <c r="BI145" s="26" t="s">
        <v>182</v>
      </c>
      <c r="BJ145" s="26" t="s">
        <v>3103</v>
      </c>
      <c r="BK145" s="26" t="s">
        <v>264</v>
      </c>
      <c r="BL145" s="26" t="s">
        <v>185</v>
      </c>
      <c r="BM145" s="26" t="s">
        <v>186</v>
      </c>
      <c r="BN145" s="26" t="s">
        <v>162</v>
      </c>
      <c r="BP145" s="26">
        <v>0</v>
      </c>
      <c r="BQ145" s="26" t="s">
        <v>265</v>
      </c>
      <c r="BS145" s="26" t="s">
        <v>188</v>
      </c>
      <c r="BT145" s="26" t="s">
        <v>185</v>
      </c>
      <c r="BV145" s="26">
        <v>7.9632</v>
      </c>
      <c r="BW145" s="26">
        <v>0.14</v>
      </c>
      <c r="BZ145" s="26">
        <v>0</v>
      </c>
      <c r="CA145" s="26" t="s">
        <v>189</v>
      </c>
      <c r="CC145" s="26" t="s">
        <v>162</v>
      </c>
      <c r="CD145" s="26">
        <v>0</v>
      </c>
      <c r="CE145" s="26" t="s">
        <v>190</v>
      </c>
      <c r="CF145" s="26" t="s">
        <v>195</v>
      </c>
      <c r="CG145" s="26" t="s">
        <v>3104</v>
      </c>
      <c r="CI145" s="26" t="s">
        <v>1095</v>
      </c>
      <c r="CJ145" s="26">
        <v>56.88</v>
      </c>
      <c r="CK145" s="26">
        <v>0</v>
      </c>
      <c r="CL145" s="26">
        <v>2.84</v>
      </c>
      <c r="CM145" s="26">
        <v>18.94</v>
      </c>
      <c r="CQ145" s="26" t="s">
        <v>437</v>
      </c>
      <c r="CR145" s="26" t="s">
        <v>2206</v>
      </c>
      <c r="CS145" s="26" t="s">
        <v>3091</v>
      </c>
      <c r="CW145" s="26" t="s">
        <v>3105</v>
      </c>
      <c r="CX145" s="26" t="s">
        <v>162</v>
      </c>
      <c r="CY145" s="26" t="s">
        <v>196</v>
      </c>
      <c r="CZ145" s="26">
        <v>0</v>
      </c>
      <c r="DB145" s="26">
        <v>0</v>
      </c>
      <c r="DK145" s="26" t="s">
        <v>150</v>
      </c>
      <c r="DL145" s="26" t="s">
        <v>581</v>
      </c>
      <c r="DM145" s="26" t="s">
        <v>3093</v>
      </c>
      <c r="DN145" s="26" t="s">
        <v>3094</v>
      </c>
      <c r="DO145" s="26" t="s">
        <v>3071</v>
      </c>
      <c r="DR145" s="26" t="s">
        <v>189</v>
      </c>
      <c r="DS145" s="26" t="s">
        <v>189</v>
      </c>
      <c r="DT145" s="26" t="s">
        <v>189</v>
      </c>
      <c r="DU145" s="26" t="s">
        <v>189</v>
      </c>
      <c r="DV145" s="26" t="s">
        <v>203</v>
      </c>
      <c r="DW145" s="26" t="s">
        <v>162</v>
      </c>
      <c r="DX145" s="26" t="s">
        <v>162</v>
      </c>
      <c r="DY145" s="26">
        <v>0</v>
      </c>
      <c r="DZ145" s="26" t="s">
        <v>150</v>
      </c>
      <c r="EH145" s="26" t="s">
        <v>189</v>
      </c>
      <c r="EI145" s="26">
        <v>0.14</v>
      </c>
      <c r="EJ145" s="26">
        <v>7.9632</v>
      </c>
      <c r="EK145" s="26">
        <v>18.94</v>
      </c>
      <c r="EL145" s="26" t="s">
        <v>3106</v>
      </c>
      <c r="EM145" s="26" t="s">
        <v>206</v>
      </c>
      <c r="EN145" s="26" t="s">
        <v>207</v>
      </c>
    </row>
    <row r="146" spans="1:144">
      <c r="A146" s="26" t="s">
        <v>145</v>
      </c>
      <c r="B146" s="26" t="s">
        <v>1556</v>
      </c>
      <c r="C146" s="26" t="s">
        <v>3107</v>
      </c>
      <c r="D146" s="26" t="s">
        <v>148</v>
      </c>
      <c r="E146" s="26" t="s">
        <v>149</v>
      </c>
      <c r="F146" s="26" t="s">
        <v>152</v>
      </c>
      <c r="G146" s="26" t="s">
        <v>151</v>
      </c>
      <c r="H146" s="26" t="s">
        <v>152</v>
      </c>
      <c r="I146" s="26" t="s">
        <v>153</v>
      </c>
      <c r="J146" s="26" t="s">
        <v>154</v>
      </c>
      <c r="K146" s="26" t="s">
        <v>1075</v>
      </c>
      <c r="L146" s="26" t="s">
        <v>2426</v>
      </c>
      <c r="M146" s="26" t="s">
        <v>3108</v>
      </c>
      <c r="N146" s="26" t="s">
        <v>3109</v>
      </c>
      <c r="O146" s="26" t="s">
        <v>3110</v>
      </c>
      <c r="P146" s="26" t="s">
        <v>3111</v>
      </c>
      <c r="Q146" s="26" t="s">
        <v>340</v>
      </c>
      <c r="R146" s="26">
        <v>152.87723</v>
      </c>
      <c r="S146" s="26" t="s">
        <v>3112</v>
      </c>
      <c r="T146" s="26">
        <v>73.00997</v>
      </c>
      <c r="U146" s="26" t="s">
        <v>217</v>
      </c>
      <c r="V146" s="26" t="s">
        <v>150</v>
      </c>
      <c r="Y146" s="26" t="s">
        <v>3113</v>
      </c>
      <c r="Z146" s="26">
        <v>11.4678091</v>
      </c>
      <c r="AA146" s="26">
        <v>0</v>
      </c>
      <c r="AB146" s="26">
        <v>0</v>
      </c>
      <c r="AC146" s="26">
        <v>11</v>
      </c>
      <c r="AD146" s="26" t="s">
        <v>1847</v>
      </c>
      <c r="AE146" s="26" t="s">
        <v>1847</v>
      </c>
      <c r="AF146" s="26" t="s">
        <v>1847</v>
      </c>
      <c r="AG146" s="26" t="s">
        <v>3114</v>
      </c>
      <c r="AI146" s="26" t="s">
        <v>167</v>
      </c>
      <c r="AJ146" s="26" t="s">
        <v>168</v>
      </c>
      <c r="AK146" s="26" t="s">
        <v>169</v>
      </c>
      <c r="AL146" s="26" t="s">
        <v>3115</v>
      </c>
      <c r="AM146" s="26" t="s">
        <v>1894</v>
      </c>
      <c r="AN146" s="26" t="s">
        <v>172</v>
      </c>
      <c r="AO146" s="26" t="s">
        <v>2198</v>
      </c>
      <c r="AP146" s="26" t="s">
        <v>162</v>
      </c>
      <c r="AQ146" s="26" t="s">
        <v>3116</v>
      </c>
      <c r="AR146" s="26" t="s">
        <v>3117</v>
      </c>
      <c r="AS146" s="26" t="s">
        <v>3118</v>
      </c>
      <c r="AU146" s="26" t="s">
        <v>3119</v>
      </c>
      <c r="AV146" s="26" t="s">
        <v>3119</v>
      </c>
      <c r="AX146" s="26" t="s">
        <v>3120</v>
      </c>
      <c r="AY146" s="26" t="s">
        <v>179</v>
      </c>
      <c r="BC146" s="26" t="s">
        <v>3107</v>
      </c>
      <c r="BD146" s="26" t="s">
        <v>180</v>
      </c>
      <c r="BE146" s="26" t="s">
        <v>1007</v>
      </c>
      <c r="BF146" s="26" t="s">
        <v>167</v>
      </c>
      <c r="BH146" s="26" t="s">
        <v>162</v>
      </c>
      <c r="BI146" s="26" t="s">
        <v>182</v>
      </c>
      <c r="BJ146" s="26" t="s">
        <v>3121</v>
      </c>
      <c r="BK146" s="26" t="s">
        <v>264</v>
      </c>
      <c r="BL146" s="26" t="s">
        <v>185</v>
      </c>
      <c r="BM146" s="26" t="s">
        <v>186</v>
      </c>
      <c r="BN146" s="26" t="s">
        <v>162</v>
      </c>
      <c r="BP146" s="26">
        <v>0</v>
      </c>
      <c r="BQ146" s="26" t="s">
        <v>494</v>
      </c>
      <c r="BS146" s="26" t="s">
        <v>230</v>
      </c>
      <c r="BT146" s="26" t="s">
        <v>185</v>
      </c>
      <c r="BV146" s="26">
        <v>11.0684</v>
      </c>
      <c r="BW146" s="26">
        <v>0.14</v>
      </c>
      <c r="BZ146" s="26">
        <v>0</v>
      </c>
      <c r="CA146" s="26" t="s">
        <v>189</v>
      </c>
      <c r="CC146" s="26" t="s">
        <v>162</v>
      </c>
      <c r="CD146" s="26">
        <v>0</v>
      </c>
      <c r="CE146" s="26" t="s">
        <v>190</v>
      </c>
      <c r="CF146" s="26" t="s">
        <v>167</v>
      </c>
      <c r="CG146" s="26" t="s">
        <v>3122</v>
      </c>
      <c r="CI146" s="26" t="s">
        <v>1095</v>
      </c>
      <c r="CJ146" s="26">
        <v>79.06</v>
      </c>
      <c r="CK146" s="26">
        <v>0</v>
      </c>
      <c r="CL146" s="26">
        <v>3.95</v>
      </c>
      <c r="CM146" s="26">
        <v>22.74</v>
      </c>
      <c r="CQ146" s="26" t="s">
        <v>605</v>
      </c>
      <c r="CR146" s="26" t="s">
        <v>3123</v>
      </c>
      <c r="CS146" s="26" t="s">
        <v>3124</v>
      </c>
      <c r="CW146" s="26" t="s">
        <v>3125</v>
      </c>
      <c r="CX146" s="26" t="s">
        <v>167</v>
      </c>
      <c r="CY146" s="26" t="s">
        <v>196</v>
      </c>
      <c r="CZ146" s="26">
        <v>0</v>
      </c>
      <c r="DB146" s="26">
        <v>0</v>
      </c>
      <c r="DK146" s="26" t="s">
        <v>150</v>
      </c>
      <c r="DL146" s="26" t="s">
        <v>1706</v>
      </c>
      <c r="DM146" s="26" t="s">
        <v>3126</v>
      </c>
      <c r="DN146" s="26" t="s">
        <v>3127</v>
      </c>
      <c r="DO146" s="26" t="s">
        <v>3128</v>
      </c>
      <c r="DP146" s="26" t="s">
        <v>3129</v>
      </c>
      <c r="DR146" s="26" t="s">
        <v>189</v>
      </c>
      <c r="DS146" s="26" t="s">
        <v>189</v>
      </c>
      <c r="DT146" s="26" t="s">
        <v>189</v>
      </c>
      <c r="DU146" s="26" t="s">
        <v>189</v>
      </c>
      <c r="DV146" s="26" t="s">
        <v>203</v>
      </c>
      <c r="DW146" s="26" t="s">
        <v>162</v>
      </c>
      <c r="DX146" s="26" t="s">
        <v>162</v>
      </c>
      <c r="DY146" s="26">
        <v>0</v>
      </c>
      <c r="DZ146" s="26" t="s">
        <v>150</v>
      </c>
      <c r="EH146" s="26" t="s">
        <v>189</v>
      </c>
      <c r="EI146" s="26">
        <v>0.14</v>
      </c>
      <c r="EJ146" s="26">
        <v>11.0684</v>
      </c>
      <c r="EK146" s="26">
        <v>22.74</v>
      </c>
      <c r="EL146" s="26" t="s">
        <v>3130</v>
      </c>
      <c r="EM146" s="26" t="s">
        <v>206</v>
      </c>
      <c r="EN146" s="26" t="s">
        <v>207</v>
      </c>
    </row>
    <row r="147" spans="1:144">
      <c r="A147" s="26" t="s">
        <v>145</v>
      </c>
      <c r="B147" s="26" t="s">
        <v>1556</v>
      </c>
      <c r="C147" s="26" t="s">
        <v>3107</v>
      </c>
      <c r="D147" s="26" t="s">
        <v>148</v>
      </c>
      <c r="E147" s="26" t="s">
        <v>149</v>
      </c>
      <c r="F147" s="26" t="s">
        <v>152</v>
      </c>
      <c r="G147" s="26" t="s">
        <v>151</v>
      </c>
      <c r="H147" s="26" t="s">
        <v>152</v>
      </c>
      <c r="I147" s="26" t="s">
        <v>153</v>
      </c>
      <c r="J147" s="26" t="s">
        <v>154</v>
      </c>
      <c r="K147" s="26" t="s">
        <v>1075</v>
      </c>
      <c r="L147" s="26" t="s">
        <v>2426</v>
      </c>
      <c r="M147" s="26" t="s">
        <v>3108</v>
      </c>
      <c r="O147" s="26" t="s">
        <v>2429</v>
      </c>
      <c r="P147" s="26" t="s">
        <v>2430</v>
      </c>
      <c r="S147" s="26" t="s">
        <v>2431</v>
      </c>
      <c r="T147" s="26">
        <v>67.76616</v>
      </c>
      <c r="U147" s="26" t="s">
        <v>217</v>
      </c>
      <c r="V147" s="26" t="s">
        <v>150</v>
      </c>
      <c r="Y147" s="26" t="s">
        <v>3113</v>
      </c>
      <c r="Z147" s="26">
        <v>11.4678091</v>
      </c>
      <c r="AA147" s="26">
        <v>0</v>
      </c>
      <c r="AB147" s="26">
        <v>0</v>
      </c>
      <c r="AC147" s="26">
        <v>10</v>
      </c>
      <c r="AD147" s="26" t="s">
        <v>3131</v>
      </c>
      <c r="AE147" s="26" t="s">
        <v>3131</v>
      </c>
      <c r="AF147" s="26" t="s">
        <v>3131</v>
      </c>
      <c r="AG147" s="26" t="s">
        <v>3132</v>
      </c>
      <c r="AI147" s="26" t="s">
        <v>167</v>
      </c>
      <c r="AJ147" s="26" t="s">
        <v>168</v>
      </c>
      <c r="AK147" s="26" t="s">
        <v>169</v>
      </c>
      <c r="AM147" s="26" t="s">
        <v>754</v>
      </c>
      <c r="AN147" s="26" t="s">
        <v>172</v>
      </c>
      <c r="AO147" s="26" t="s">
        <v>2436</v>
      </c>
      <c r="AP147" s="26" t="s">
        <v>162</v>
      </c>
      <c r="AQ147" s="26" t="s">
        <v>3116</v>
      </c>
      <c r="AR147" s="26" t="s">
        <v>3117</v>
      </c>
      <c r="AS147" s="26" t="s">
        <v>321</v>
      </c>
      <c r="AU147" s="26" t="s">
        <v>3119</v>
      </c>
      <c r="AV147" s="26" t="s">
        <v>3119</v>
      </c>
      <c r="AX147" s="26" t="s">
        <v>2440</v>
      </c>
      <c r="AY147" s="26" t="s">
        <v>179</v>
      </c>
      <c r="BC147" s="26" t="s">
        <v>3107</v>
      </c>
      <c r="BD147" s="26" t="s">
        <v>180</v>
      </c>
      <c r="BE147" s="26" t="s">
        <v>1007</v>
      </c>
      <c r="BF147" s="26" t="s">
        <v>167</v>
      </c>
      <c r="BH147" s="26" t="s">
        <v>162</v>
      </c>
      <c r="BI147" s="26" t="s">
        <v>182</v>
      </c>
      <c r="BJ147" s="26" t="s">
        <v>2464</v>
      </c>
      <c r="BK147" s="26" t="s">
        <v>264</v>
      </c>
      <c r="BL147" s="26" t="s">
        <v>185</v>
      </c>
      <c r="BM147" s="26" t="s">
        <v>186</v>
      </c>
      <c r="BN147" s="26" t="s">
        <v>162</v>
      </c>
      <c r="BP147" s="26">
        <v>0</v>
      </c>
      <c r="BQ147" s="26" t="s">
        <v>2442</v>
      </c>
      <c r="BS147" s="26" t="s">
        <v>304</v>
      </c>
      <c r="BT147" s="26" t="s">
        <v>185</v>
      </c>
      <c r="BV147" s="26">
        <v>10.3348</v>
      </c>
      <c r="BW147" s="26">
        <v>0.14</v>
      </c>
      <c r="BZ147" s="26">
        <v>0</v>
      </c>
      <c r="CA147" s="26" t="s">
        <v>189</v>
      </c>
      <c r="CC147" s="26" t="s">
        <v>162</v>
      </c>
      <c r="CD147" s="26">
        <v>0</v>
      </c>
      <c r="CE147" s="26" t="s">
        <v>190</v>
      </c>
      <c r="CF147" s="26" t="s">
        <v>195</v>
      </c>
      <c r="CG147" s="26" t="s">
        <v>3133</v>
      </c>
      <c r="CI147" s="26" t="s">
        <v>1095</v>
      </c>
      <c r="CJ147" s="26">
        <v>73.82</v>
      </c>
      <c r="CK147" s="26">
        <v>0</v>
      </c>
      <c r="CL147" s="26">
        <v>3.69</v>
      </c>
      <c r="CM147" s="26">
        <v>22.58</v>
      </c>
      <c r="CQ147" s="26" t="s">
        <v>233</v>
      </c>
      <c r="CR147" s="26" t="s">
        <v>3123</v>
      </c>
      <c r="CS147" s="26" t="s">
        <v>3124</v>
      </c>
      <c r="CW147" s="26" t="s">
        <v>2446</v>
      </c>
      <c r="CX147" s="26" t="s">
        <v>162</v>
      </c>
      <c r="CY147" s="26" t="s">
        <v>196</v>
      </c>
      <c r="CZ147" s="26">
        <v>0</v>
      </c>
      <c r="DB147" s="26">
        <v>0</v>
      </c>
      <c r="DK147" s="26" t="s">
        <v>150</v>
      </c>
      <c r="DL147" s="26" t="s">
        <v>1706</v>
      </c>
      <c r="DM147" s="26" t="s">
        <v>3126</v>
      </c>
      <c r="DN147" s="26" t="s">
        <v>3127</v>
      </c>
      <c r="DO147" s="26" t="s">
        <v>3128</v>
      </c>
      <c r="DP147" s="26" t="s">
        <v>3129</v>
      </c>
      <c r="DR147" s="26" t="s">
        <v>189</v>
      </c>
      <c r="DS147" s="26" t="s">
        <v>189</v>
      </c>
      <c r="DT147" s="26" t="s">
        <v>189</v>
      </c>
      <c r="DU147" s="26" t="s">
        <v>189</v>
      </c>
      <c r="DV147" s="26" t="s">
        <v>203</v>
      </c>
      <c r="DW147" s="26" t="s">
        <v>162</v>
      </c>
      <c r="DX147" s="26" t="s">
        <v>162</v>
      </c>
      <c r="DY147" s="26">
        <v>0</v>
      </c>
      <c r="DZ147" s="26" t="s">
        <v>150</v>
      </c>
      <c r="EH147" s="26" t="s">
        <v>189</v>
      </c>
      <c r="EI147" s="26">
        <v>0.14</v>
      </c>
      <c r="EJ147" s="26">
        <v>10.3348</v>
      </c>
      <c r="EK147" s="26">
        <v>22.58</v>
      </c>
      <c r="EL147" s="26" t="s">
        <v>2450</v>
      </c>
      <c r="EM147" s="26" t="s">
        <v>206</v>
      </c>
      <c r="EN147" s="26" t="s">
        <v>207</v>
      </c>
    </row>
    <row r="148" spans="1:144">
      <c r="A148" s="26" t="s">
        <v>145</v>
      </c>
      <c r="B148" s="26" t="s">
        <v>1556</v>
      </c>
      <c r="C148" s="26" t="s">
        <v>3134</v>
      </c>
      <c r="D148" s="26" t="s">
        <v>148</v>
      </c>
      <c r="E148" s="26" t="s">
        <v>149</v>
      </c>
      <c r="F148" s="26" t="s">
        <v>152</v>
      </c>
      <c r="G148" s="26" t="s">
        <v>151</v>
      </c>
      <c r="H148" s="26" t="s">
        <v>152</v>
      </c>
      <c r="I148" s="26" t="s">
        <v>153</v>
      </c>
      <c r="J148" s="26" t="s">
        <v>154</v>
      </c>
      <c r="K148" s="26" t="s">
        <v>1075</v>
      </c>
      <c r="L148" s="26" t="s">
        <v>2426</v>
      </c>
      <c r="M148" s="26" t="s">
        <v>3135</v>
      </c>
      <c r="N148" s="26" t="s">
        <v>3136</v>
      </c>
      <c r="O148" s="26" t="s">
        <v>3137</v>
      </c>
      <c r="P148" s="26" t="s">
        <v>3138</v>
      </c>
      <c r="Q148" s="26" t="s">
        <v>3139</v>
      </c>
      <c r="R148" s="26">
        <v>66.55605</v>
      </c>
      <c r="S148" s="26" t="s">
        <v>1656</v>
      </c>
      <c r="T148" s="26">
        <v>60.5055</v>
      </c>
      <c r="U148" s="26" t="s">
        <v>217</v>
      </c>
      <c r="V148" s="26" t="s">
        <v>150</v>
      </c>
      <c r="Y148" s="26" t="s">
        <v>3140</v>
      </c>
      <c r="Z148" s="26">
        <v>9.9834075</v>
      </c>
      <c r="AA148" s="26">
        <v>0</v>
      </c>
      <c r="AB148" s="26">
        <v>0</v>
      </c>
      <c r="AC148" s="26">
        <v>8.5</v>
      </c>
      <c r="AD148" s="26" t="s">
        <v>1565</v>
      </c>
      <c r="AE148" s="26" t="s">
        <v>1565</v>
      </c>
      <c r="AF148" s="26" t="s">
        <v>1565</v>
      </c>
      <c r="AG148" s="26" t="s">
        <v>3141</v>
      </c>
      <c r="AI148" s="26" t="s">
        <v>167</v>
      </c>
      <c r="AJ148" s="26" t="s">
        <v>168</v>
      </c>
      <c r="AK148" s="26" t="s">
        <v>169</v>
      </c>
      <c r="AL148" s="26" t="s">
        <v>3142</v>
      </c>
      <c r="AM148" s="26" t="s">
        <v>3143</v>
      </c>
      <c r="AN148" s="26" t="s">
        <v>172</v>
      </c>
      <c r="AO148" s="26" t="s">
        <v>3144</v>
      </c>
      <c r="AP148" s="26" t="s">
        <v>162</v>
      </c>
      <c r="AQ148" s="26" t="s">
        <v>3145</v>
      </c>
      <c r="AR148" s="26" t="s">
        <v>3146</v>
      </c>
      <c r="AS148" s="26" t="s">
        <v>3147</v>
      </c>
      <c r="AU148" s="26" t="s">
        <v>3148</v>
      </c>
      <c r="AV148" s="26" t="s">
        <v>3148</v>
      </c>
      <c r="AX148" s="26" t="s">
        <v>3149</v>
      </c>
      <c r="AY148" s="26" t="s">
        <v>179</v>
      </c>
      <c r="BC148" s="26" t="s">
        <v>3134</v>
      </c>
      <c r="BD148" s="26" t="s">
        <v>180</v>
      </c>
      <c r="BE148" s="26" t="s">
        <v>1007</v>
      </c>
      <c r="BF148" s="26" t="s">
        <v>167</v>
      </c>
      <c r="BH148" s="26" t="s">
        <v>162</v>
      </c>
      <c r="BI148" s="26" t="s">
        <v>182</v>
      </c>
      <c r="BJ148" s="26" t="s">
        <v>658</v>
      </c>
      <c r="BK148" s="26" t="s">
        <v>1902</v>
      </c>
      <c r="BL148" s="26" t="s">
        <v>185</v>
      </c>
      <c r="BM148" s="26" t="s">
        <v>186</v>
      </c>
      <c r="BN148" s="26" t="s">
        <v>162</v>
      </c>
      <c r="BP148" s="26">
        <v>0</v>
      </c>
      <c r="BQ148" s="26" t="s">
        <v>187</v>
      </c>
      <c r="BS148" s="26" t="s">
        <v>188</v>
      </c>
      <c r="BT148" s="26" t="s">
        <v>185</v>
      </c>
      <c r="BV148" s="26">
        <v>9.3184</v>
      </c>
      <c r="BW148" s="26">
        <v>0.14</v>
      </c>
      <c r="BZ148" s="26">
        <v>0</v>
      </c>
      <c r="CA148" s="26" t="s">
        <v>189</v>
      </c>
      <c r="CC148" s="26" t="s">
        <v>162</v>
      </c>
      <c r="CD148" s="26">
        <v>0</v>
      </c>
      <c r="CE148" s="26" t="s">
        <v>190</v>
      </c>
      <c r="CF148" s="26" t="s">
        <v>167</v>
      </c>
      <c r="CG148" s="26" t="s">
        <v>3150</v>
      </c>
      <c r="CI148" s="26" t="s">
        <v>1095</v>
      </c>
      <c r="CJ148" s="26">
        <v>66.56</v>
      </c>
      <c r="CK148" s="26">
        <v>0</v>
      </c>
      <c r="CL148" s="26">
        <v>3.33</v>
      </c>
      <c r="CM148" s="26">
        <v>12.14</v>
      </c>
      <c r="CQ148" s="26" t="s">
        <v>605</v>
      </c>
      <c r="CR148" s="26" t="s">
        <v>3151</v>
      </c>
      <c r="CS148" s="26" t="s">
        <v>3152</v>
      </c>
      <c r="CW148" s="26" t="s">
        <v>3153</v>
      </c>
      <c r="CX148" s="26" t="s">
        <v>162</v>
      </c>
      <c r="CY148" s="26" t="s">
        <v>196</v>
      </c>
      <c r="CZ148" s="26">
        <v>0</v>
      </c>
      <c r="DB148" s="26">
        <v>0</v>
      </c>
      <c r="DK148" s="26" t="s">
        <v>150</v>
      </c>
      <c r="DL148" s="26" t="s">
        <v>581</v>
      </c>
      <c r="DM148" s="26" t="s">
        <v>3154</v>
      </c>
      <c r="DN148" s="26" t="s">
        <v>3155</v>
      </c>
      <c r="DO148" s="26" t="s">
        <v>3156</v>
      </c>
      <c r="DP148" s="26" t="s">
        <v>3157</v>
      </c>
      <c r="DR148" s="26" t="s">
        <v>189</v>
      </c>
      <c r="DS148" s="26" t="s">
        <v>189</v>
      </c>
      <c r="DT148" s="26" t="s">
        <v>189</v>
      </c>
      <c r="DU148" s="26" t="s">
        <v>189</v>
      </c>
      <c r="DV148" s="26" t="s">
        <v>203</v>
      </c>
      <c r="DW148" s="26" t="s">
        <v>162</v>
      </c>
      <c r="DX148" s="26" t="s">
        <v>162</v>
      </c>
      <c r="DY148" s="26">
        <v>0</v>
      </c>
      <c r="DZ148" s="26" t="s">
        <v>150</v>
      </c>
      <c r="EH148" s="26" t="s">
        <v>189</v>
      </c>
      <c r="EI148" s="26">
        <v>0.14</v>
      </c>
      <c r="EJ148" s="26">
        <v>9.3184</v>
      </c>
      <c r="EK148" s="26">
        <v>12.14</v>
      </c>
      <c r="EL148" s="26" t="s">
        <v>3158</v>
      </c>
      <c r="EM148" s="26" t="s">
        <v>206</v>
      </c>
      <c r="EN148" s="26" t="s">
        <v>207</v>
      </c>
    </row>
    <row r="149" spans="1:144">
      <c r="A149" s="26" t="s">
        <v>145</v>
      </c>
      <c r="B149" s="26" t="s">
        <v>763</v>
      </c>
      <c r="C149" s="26" t="s">
        <v>3159</v>
      </c>
      <c r="D149" s="26" t="s">
        <v>148</v>
      </c>
      <c r="E149" s="26" t="s">
        <v>149</v>
      </c>
      <c r="F149" s="26" t="s">
        <v>152</v>
      </c>
      <c r="G149" s="26" t="s">
        <v>151</v>
      </c>
      <c r="H149" s="26" t="s">
        <v>152</v>
      </c>
      <c r="I149" s="26" t="s">
        <v>153</v>
      </c>
      <c r="J149" s="26" t="s">
        <v>154</v>
      </c>
      <c r="K149" s="26" t="s">
        <v>244</v>
      </c>
      <c r="L149" s="26" t="s">
        <v>366</v>
      </c>
      <c r="M149" s="26" t="s">
        <v>3160</v>
      </c>
      <c r="N149" s="26" t="s">
        <v>3161</v>
      </c>
      <c r="O149" s="26" t="s">
        <v>3162</v>
      </c>
      <c r="P149" s="26" t="s">
        <v>3163</v>
      </c>
      <c r="Q149" s="26" t="s">
        <v>3164</v>
      </c>
      <c r="R149" s="26">
        <v>795.742844</v>
      </c>
      <c r="S149" s="26" t="s">
        <v>3165</v>
      </c>
      <c r="T149" s="26">
        <v>327.417164</v>
      </c>
      <c r="U149" s="26" t="s">
        <v>217</v>
      </c>
      <c r="V149" s="26" t="s">
        <v>150</v>
      </c>
      <c r="Y149" s="26" t="s">
        <v>3166</v>
      </c>
      <c r="Z149" s="26">
        <v>29.84138368</v>
      </c>
      <c r="AA149" s="26">
        <v>0</v>
      </c>
      <c r="AB149" s="26">
        <v>0</v>
      </c>
      <c r="AC149" s="26">
        <v>85</v>
      </c>
      <c r="AD149" s="26" t="s">
        <v>2576</v>
      </c>
      <c r="AE149" s="26" t="s">
        <v>2576</v>
      </c>
      <c r="AF149" s="26" t="s">
        <v>2576</v>
      </c>
      <c r="AG149" s="26" t="s">
        <v>3167</v>
      </c>
      <c r="AI149" s="26" t="s">
        <v>167</v>
      </c>
      <c r="AJ149" s="26" t="s">
        <v>168</v>
      </c>
      <c r="AK149" s="26" t="s">
        <v>169</v>
      </c>
      <c r="AL149" s="26" t="s">
        <v>3168</v>
      </c>
      <c r="AM149" s="26" t="s">
        <v>2574</v>
      </c>
      <c r="AN149" s="26" t="s">
        <v>172</v>
      </c>
      <c r="AO149" s="26" t="s">
        <v>2761</v>
      </c>
      <c r="AP149" s="26" t="s">
        <v>162</v>
      </c>
      <c r="AQ149" s="26" t="s">
        <v>3169</v>
      </c>
      <c r="AR149" s="26" t="s">
        <v>3170</v>
      </c>
      <c r="AS149" s="26" t="s">
        <v>859</v>
      </c>
      <c r="AU149" s="26" t="s">
        <v>3171</v>
      </c>
      <c r="AV149" s="26" t="s">
        <v>3171</v>
      </c>
      <c r="AX149" s="26" t="s">
        <v>3172</v>
      </c>
      <c r="AY149" s="26" t="s">
        <v>179</v>
      </c>
      <c r="BC149" s="26" t="s">
        <v>3159</v>
      </c>
      <c r="BD149" s="26" t="s">
        <v>180</v>
      </c>
      <c r="BE149" s="26" t="s">
        <v>181</v>
      </c>
      <c r="BF149" s="26" t="s">
        <v>167</v>
      </c>
      <c r="BH149" s="26" t="s">
        <v>162</v>
      </c>
      <c r="BI149" s="26" t="s">
        <v>182</v>
      </c>
      <c r="BJ149" s="26" t="s">
        <v>1266</v>
      </c>
      <c r="BK149" s="26" t="s">
        <v>1469</v>
      </c>
      <c r="BL149" s="26" t="s">
        <v>185</v>
      </c>
      <c r="BM149" s="26" t="s">
        <v>186</v>
      </c>
      <c r="BN149" s="26" t="s">
        <v>162</v>
      </c>
      <c r="BP149" s="26">
        <v>0</v>
      </c>
      <c r="BR149" s="26" t="s">
        <v>385</v>
      </c>
      <c r="BS149" s="26" t="s">
        <v>354</v>
      </c>
      <c r="BT149" s="26" t="s">
        <v>185</v>
      </c>
      <c r="BV149" s="26">
        <v>53.3728</v>
      </c>
      <c r="BW149" s="26">
        <v>0.16</v>
      </c>
      <c r="BZ149" s="26">
        <v>0</v>
      </c>
      <c r="CA149" s="26" t="s">
        <v>189</v>
      </c>
      <c r="CC149" s="26" t="s">
        <v>162</v>
      </c>
      <c r="CD149" s="26">
        <v>0</v>
      </c>
      <c r="CE149" s="26" t="s">
        <v>190</v>
      </c>
      <c r="CF149" s="26" t="s">
        <v>305</v>
      </c>
      <c r="CG149" s="26" t="s">
        <v>3173</v>
      </c>
      <c r="CI149" s="26" t="s">
        <v>267</v>
      </c>
      <c r="CJ149" s="26">
        <v>333.58</v>
      </c>
      <c r="CK149" s="26">
        <v>0</v>
      </c>
      <c r="CL149" s="26">
        <v>16.68</v>
      </c>
      <c r="CM149" s="26">
        <v>79.58</v>
      </c>
      <c r="CQ149" s="26" t="s">
        <v>437</v>
      </c>
      <c r="CR149" s="26" t="s">
        <v>3174</v>
      </c>
      <c r="CS149" s="26" t="s">
        <v>3175</v>
      </c>
      <c r="CW149" s="26" t="s">
        <v>3176</v>
      </c>
      <c r="CX149" s="26" t="s">
        <v>162</v>
      </c>
      <c r="CY149" s="26" t="s">
        <v>196</v>
      </c>
      <c r="CZ149" s="26">
        <v>0</v>
      </c>
      <c r="DB149" s="26">
        <v>0</v>
      </c>
      <c r="DK149" s="26" t="s">
        <v>150</v>
      </c>
      <c r="DL149" s="26" t="s">
        <v>1391</v>
      </c>
      <c r="DM149" s="26" t="s">
        <v>3177</v>
      </c>
      <c r="DN149" s="26" t="s">
        <v>3178</v>
      </c>
      <c r="DO149" s="26" t="s">
        <v>3179</v>
      </c>
      <c r="DP149" s="26" t="s">
        <v>3180</v>
      </c>
      <c r="DR149" s="26" t="s">
        <v>189</v>
      </c>
      <c r="DS149" s="26" t="s">
        <v>189</v>
      </c>
      <c r="DT149" s="26" t="s">
        <v>189</v>
      </c>
      <c r="DU149" s="26" t="s">
        <v>189</v>
      </c>
      <c r="DV149" s="26" t="s">
        <v>203</v>
      </c>
      <c r="DW149" s="26" t="s">
        <v>162</v>
      </c>
      <c r="DX149" s="26" t="s">
        <v>162</v>
      </c>
      <c r="DY149" s="26">
        <v>0</v>
      </c>
      <c r="DZ149" s="26" t="s">
        <v>150</v>
      </c>
      <c r="EH149" s="26" t="s">
        <v>189</v>
      </c>
      <c r="EI149" s="26">
        <v>0.16</v>
      </c>
      <c r="EJ149" s="26">
        <v>53.3728</v>
      </c>
      <c r="EK149" s="26">
        <v>79.58</v>
      </c>
      <c r="EL149" s="26" t="s">
        <v>3181</v>
      </c>
      <c r="EM149" s="26" t="s">
        <v>206</v>
      </c>
      <c r="EN149" s="26" t="s">
        <v>207</v>
      </c>
    </row>
    <row r="150" spans="1:144">
      <c r="A150" s="26" t="s">
        <v>145</v>
      </c>
      <c r="B150" s="26" t="s">
        <v>763</v>
      </c>
      <c r="C150" s="26" t="s">
        <v>3159</v>
      </c>
      <c r="D150" s="26" t="s">
        <v>148</v>
      </c>
      <c r="E150" s="26" t="s">
        <v>149</v>
      </c>
      <c r="F150" s="26" t="s">
        <v>152</v>
      </c>
      <c r="G150" s="26" t="s">
        <v>151</v>
      </c>
      <c r="H150" s="26" t="s">
        <v>152</v>
      </c>
      <c r="I150" s="26" t="s">
        <v>153</v>
      </c>
      <c r="J150" s="26" t="s">
        <v>154</v>
      </c>
      <c r="K150" s="26" t="s">
        <v>1075</v>
      </c>
      <c r="L150" s="26" t="s">
        <v>3182</v>
      </c>
      <c r="M150" s="26" t="s">
        <v>3160</v>
      </c>
      <c r="O150" s="26" t="s">
        <v>3183</v>
      </c>
      <c r="P150" s="26" t="s">
        <v>3184</v>
      </c>
      <c r="S150" s="26" t="s">
        <v>3185</v>
      </c>
      <c r="T150" s="26">
        <v>147.89232</v>
      </c>
      <c r="U150" s="26" t="s">
        <v>217</v>
      </c>
      <c r="V150" s="26" t="s">
        <v>150</v>
      </c>
      <c r="Y150" s="26" t="s">
        <v>3166</v>
      </c>
      <c r="Z150" s="26">
        <v>29.84138368</v>
      </c>
      <c r="AA150" s="26">
        <v>0</v>
      </c>
      <c r="AB150" s="26">
        <v>0</v>
      </c>
      <c r="AC150" s="26">
        <v>28</v>
      </c>
      <c r="AD150" s="26" t="s">
        <v>1480</v>
      </c>
      <c r="AE150" s="26" t="s">
        <v>1480</v>
      </c>
      <c r="AF150" s="26" t="s">
        <v>1480</v>
      </c>
      <c r="AG150" s="26" t="s">
        <v>3186</v>
      </c>
      <c r="AI150" s="26" t="s">
        <v>167</v>
      </c>
      <c r="AJ150" s="26" t="s">
        <v>168</v>
      </c>
      <c r="AK150" s="26" t="s">
        <v>169</v>
      </c>
      <c r="AM150" s="26" t="s">
        <v>170</v>
      </c>
      <c r="AN150" s="26" t="s">
        <v>172</v>
      </c>
      <c r="AO150" s="26" t="s">
        <v>667</v>
      </c>
      <c r="AP150" s="26" t="s">
        <v>162</v>
      </c>
      <c r="AQ150" s="26" t="s">
        <v>3169</v>
      </c>
      <c r="AR150" s="26" t="s">
        <v>3170</v>
      </c>
      <c r="AS150" s="26" t="s">
        <v>381</v>
      </c>
      <c r="AU150" s="26" t="s">
        <v>3171</v>
      </c>
      <c r="AV150" s="26" t="s">
        <v>3171</v>
      </c>
      <c r="AX150" s="26" t="s">
        <v>3187</v>
      </c>
      <c r="AY150" s="26" t="s">
        <v>179</v>
      </c>
      <c r="BC150" s="26" t="s">
        <v>3159</v>
      </c>
      <c r="BD150" s="26" t="s">
        <v>180</v>
      </c>
      <c r="BE150" s="26" t="s">
        <v>181</v>
      </c>
      <c r="BF150" s="26" t="s">
        <v>167</v>
      </c>
      <c r="BH150" s="26" t="s">
        <v>162</v>
      </c>
      <c r="BI150" s="26" t="s">
        <v>182</v>
      </c>
      <c r="BJ150" s="26" t="s">
        <v>3188</v>
      </c>
      <c r="BK150" s="26" t="s">
        <v>1469</v>
      </c>
      <c r="BL150" s="26" t="s">
        <v>185</v>
      </c>
      <c r="BM150" s="26" t="s">
        <v>186</v>
      </c>
      <c r="BN150" s="26" t="s">
        <v>162</v>
      </c>
      <c r="BP150" s="26">
        <v>0</v>
      </c>
      <c r="BQ150" s="26" t="s">
        <v>666</v>
      </c>
      <c r="BR150" s="26" t="s">
        <v>667</v>
      </c>
      <c r="BS150" s="26" t="s">
        <v>230</v>
      </c>
      <c r="BT150" s="26" t="s">
        <v>185</v>
      </c>
      <c r="BV150" s="26">
        <v>21.567</v>
      </c>
      <c r="BW150" s="26">
        <v>0.14</v>
      </c>
      <c r="BZ150" s="26">
        <v>0</v>
      </c>
      <c r="CA150" s="26" t="s">
        <v>189</v>
      </c>
      <c r="CC150" s="26" t="s">
        <v>162</v>
      </c>
      <c r="CD150" s="26">
        <v>0</v>
      </c>
      <c r="CE150" s="26" t="s">
        <v>190</v>
      </c>
      <c r="CF150" s="26" t="s">
        <v>167</v>
      </c>
      <c r="CG150" s="26" t="s">
        <v>3189</v>
      </c>
      <c r="CI150" s="26" t="s">
        <v>1095</v>
      </c>
      <c r="CJ150" s="26">
        <v>154.05</v>
      </c>
      <c r="CK150" s="26">
        <v>0</v>
      </c>
      <c r="CL150" s="26">
        <v>7.7</v>
      </c>
      <c r="CM150" s="26">
        <v>28.33</v>
      </c>
      <c r="CQ150" s="26" t="s">
        <v>233</v>
      </c>
      <c r="CR150" s="26" t="s">
        <v>3174</v>
      </c>
      <c r="CS150" s="26" t="s">
        <v>3175</v>
      </c>
      <c r="CW150" s="26" t="s">
        <v>3190</v>
      </c>
      <c r="CX150" s="26" t="s">
        <v>162</v>
      </c>
      <c r="CY150" s="26" t="s">
        <v>196</v>
      </c>
      <c r="CZ150" s="26">
        <v>0</v>
      </c>
      <c r="DB150" s="26">
        <v>0</v>
      </c>
      <c r="DK150" s="26" t="s">
        <v>150</v>
      </c>
      <c r="DL150" s="26" t="s">
        <v>1391</v>
      </c>
      <c r="DM150" s="26" t="s">
        <v>3177</v>
      </c>
      <c r="DN150" s="26" t="s">
        <v>3178</v>
      </c>
      <c r="DO150" s="26" t="s">
        <v>3179</v>
      </c>
      <c r="DP150" s="26" t="s">
        <v>3180</v>
      </c>
      <c r="DR150" s="26" t="s">
        <v>189</v>
      </c>
      <c r="DS150" s="26" t="s">
        <v>189</v>
      </c>
      <c r="DT150" s="26" t="s">
        <v>189</v>
      </c>
      <c r="DU150" s="26" t="s">
        <v>189</v>
      </c>
      <c r="DV150" s="26" t="s">
        <v>203</v>
      </c>
      <c r="DW150" s="26" t="s">
        <v>162</v>
      </c>
      <c r="DX150" s="26" t="s">
        <v>162</v>
      </c>
      <c r="DY150" s="26">
        <v>0</v>
      </c>
      <c r="DZ150" s="26" t="s">
        <v>150</v>
      </c>
      <c r="EH150" s="26" t="s">
        <v>189</v>
      </c>
      <c r="EI150" s="26">
        <v>0.14</v>
      </c>
      <c r="EJ150" s="26">
        <v>21.567</v>
      </c>
      <c r="EK150" s="26">
        <v>28.33</v>
      </c>
      <c r="EL150" s="26" t="s">
        <v>3191</v>
      </c>
      <c r="EM150" s="26" t="s">
        <v>206</v>
      </c>
      <c r="EN150" s="26" t="s">
        <v>207</v>
      </c>
    </row>
    <row r="151" spans="1:144">
      <c r="A151" s="26" t="s">
        <v>145</v>
      </c>
      <c r="B151" s="26" t="s">
        <v>763</v>
      </c>
      <c r="C151" s="26" t="s">
        <v>3159</v>
      </c>
      <c r="D151" s="26" t="s">
        <v>148</v>
      </c>
      <c r="E151" s="26" t="s">
        <v>149</v>
      </c>
      <c r="F151" s="26" t="s">
        <v>152</v>
      </c>
      <c r="G151" s="26" t="s">
        <v>151</v>
      </c>
      <c r="H151" s="26" t="s">
        <v>152</v>
      </c>
      <c r="I151" s="26" t="s">
        <v>153</v>
      </c>
      <c r="J151" s="26" t="s">
        <v>154</v>
      </c>
      <c r="K151" s="26" t="s">
        <v>1075</v>
      </c>
      <c r="L151" s="26" t="s">
        <v>3182</v>
      </c>
      <c r="M151" s="26" t="s">
        <v>3160</v>
      </c>
      <c r="O151" s="26" t="s">
        <v>3192</v>
      </c>
      <c r="P151" s="26" t="s">
        <v>3193</v>
      </c>
      <c r="S151" s="26" t="s">
        <v>3185</v>
      </c>
      <c r="T151" s="26">
        <v>147.89232</v>
      </c>
      <c r="U151" s="26" t="s">
        <v>217</v>
      </c>
      <c r="V151" s="26" t="s">
        <v>150</v>
      </c>
      <c r="Y151" s="26" t="s">
        <v>3166</v>
      </c>
      <c r="Z151" s="26">
        <v>29.84138368</v>
      </c>
      <c r="AA151" s="26">
        <v>0</v>
      </c>
      <c r="AB151" s="26">
        <v>0</v>
      </c>
      <c r="AC151" s="26">
        <v>28</v>
      </c>
      <c r="AD151" s="26" t="s">
        <v>1480</v>
      </c>
      <c r="AE151" s="26" t="s">
        <v>1480</v>
      </c>
      <c r="AF151" s="26" t="s">
        <v>1480</v>
      </c>
      <c r="AG151" s="26" t="s">
        <v>3194</v>
      </c>
      <c r="AI151" s="26" t="s">
        <v>167</v>
      </c>
      <c r="AJ151" s="26" t="s">
        <v>168</v>
      </c>
      <c r="AK151" s="26" t="s">
        <v>169</v>
      </c>
      <c r="AM151" s="26" t="s">
        <v>1826</v>
      </c>
      <c r="AN151" s="26" t="s">
        <v>172</v>
      </c>
      <c r="AO151" s="26" t="s">
        <v>667</v>
      </c>
      <c r="AP151" s="26" t="s">
        <v>162</v>
      </c>
      <c r="AQ151" s="26" t="s">
        <v>3169</v>
      </c>
      <c r="AR151" s="26" t="s">
        <v>3170</v>
      </c>
      <c r="AS151" s="26" t="s">
        <v>381</v>
      </c>
      <c r="AU151" s="26" t="s">
        <v>3171</v>
      </c>
      <c r="AV151" s="26" t="s">
        <v>3171</v>
      </c>
      <c r="AX151" s="26" t="s">
        <v>3187</v>
      </c>
      <c r="AY151" s="26" t="s">
        <v>179</v>
      </c>
      <c r="BC151" s="26" t="s">
        <v>3159</v>
      </c>
      <c r="BD151" s="26" t="s">
        <v>180</v>
      </c>
      <c r="BE151" s="26" t="s">
        <v>181</v>
      </c>
      <c r="BF151" s="26" t="s">
        <v>167</v>
      </c>
      <c r="BH151" s="26" t="s">
        <v>162</v>
      </c>
      <c r="BI151" s="26" t="s">
        <v>182</v>
      </c>
      <c r="BJ151" s="26" t="s">
        <v>3188</v>
      </c>
      <c r="BK151" s="26" t="s">
        <v>1469</v>
      </c>
      <c r="BL151" s="26" t="s">
        <v>185</v>
      </c>
      <c r="BM151" s="26" t="s">
        <v>186</v>
      </c>
      <c r="BN151" s="26" t="s">
        <v>162</v>
      </c>
      <c r="BP151" s="26">
        <v>0</v>
      </c>
      <c r="BQ151" s="26" t="s">
        <v>666</v>
      </c>
      <c r="BR151" s="26" t="s">
        <v>667</v>
      </c>
      <c r="BS151" s="26" t="s">
        <v>230</v>
      </c>
      <c r="BT151" s="26" t="s">
        <v>185</v>
      </c>
      <c r="BV151" s="26">
        <v>21.567</v>
      </c>
      <c r="BW151" s="26">
        <v>0.14</v>
      </c>
      <c r="BZ151" s="26">
        <v>0</v>
      </c>
      <c r="CA151" s="26" t="s">
        <v>189</v>
      </c>
      <c r="CC151" s="26" t="s">
        <v>162</v>
      </c>
      <c r="CD151" s="26">
        <v>0</v>
      </c>
      <c r="CE151" s="26" t="s">
        <v>190</v>
      </c>
      <c r="CF151" s="26" t="s">
        <v>195</v>
      </c>
      <c r="CG151" s="26" t="s">
        <v>3189</v>
      </c>
      <c r="CI151" s="26" t="s">
        <v>1095</v>
      </c>
      <c r="CJ151" s="26">
        <v>154.05</v>
      </c>
      <c r="CK151" s="26">
        <v>0</v>
      </c>
      <c r="CL151" s="26">
        <v>7.7</v>
      </c>
      <c r="CM151" s="26">
        <v>30.45</v>
      </c>
      <c r="CQ151" s="26" t="s">
        <v>233</v>
      </c>
      <c r="CR151" s="26" t="s">
        <v>3174</v>
      </c>
      <c r="CS151" s="26" t="s">
        <v>3175</v>
      </c>
      <c r="CW151" s="26" t="s">
        <v>3190</v>
      </c>
      <c r="CX151" s="26" t="s">
        <v>162</v>
      </c>
      <c r="CY151" s="26" t="s">
        <v>196</v>
      </c>
      <c r="CZ151" s="26">
        <v>0</v>
      </c>
      <c r="DB151" s="26">
        <v>0</v>
      </c>
      <c r="DK151" s="26" t="s">
        <v>150</v>
      </c>
      <c r="DL151" s="26" t="s">
        <v>1391</v>
      </c>
      <c r="DM151" s="26" t="s">
        <v>3177</v>
      </c>
      <c r="DN151" s="26" t="s">
        <v>3178</v>
      </c>
      <c r="DO151" s="26" t="s">
        <v>3179</v>
      </c>
      <c r="DP151" s="26" t="s">
        <v>3180</v>
      </c>
      <c r="DR151" s="26" t="s">
        <v>189</v>
      </c>
      <c r="DS151" s="26" t="s">
        <v>189</v>
      </c>
      <c r="DT151" s="26" t="s">
        <v>189</v>
      </c>
      <c r="DU151" s="26" t="s">
        <v>189</v>
      </c>
      <c r="DV151" s="26" t="s">
        <v>203</v>
      </c>
      <c r="DW151" s="26" t="s">
        <v>162</v>
      </c>
      <c r="DX151" s="26" t="s">
        <v>162</v>
      </c>
      <c r="DY151" s="26">
        <v>0</v>
      </c>
      <c r="DZ151" s="26" t="s">
        <v>150</v>
      </c>
      <c r="EH151" s="26" t="s">
        <v>189</v>
      </c>
      <c r="EI151" s="26">
        <v>0.14</v>
      </c>
      <c r="EJ151" s="26">
        <v>21.567</v>
      </c>
      <c r="EK151" s="26">
        <v>30.45</v>
      </c>
      <c r="EL151" s="26" t="s">
        <v>3195</v>
      </c>
      <c r="EM151" s="26" t="s">
        <v>206</v>
      </c>
      <c r="EN151" s="26" t="s">
        <v>207</v>
      </c>
    </row>
    <row r="152" spans="1:144">
      <c r="A152" s="26" t="s">
        <v>145</v>
      </c>
      <c r="B152" s="26" t="s">
        <v>763</v>
      </c>
      <c r="C152" s="26" t="s">
        <v>3159</v>
      </c>
      <c r="D152" s="26" t="s">
        <v>148</v>
      </c>
      <c r="E152" s="26" t="s">
        <v>149</v>
      </c>
      <c r="F152" s="26" t="s">
        <v>152</v>
      </c>
      <c r="G152" s="26" t="s">
        <v>151</v>
      </c>
      <c r="H152" s="26" t="s">
        <v>152</v>
      </c>
      <c r="I152" s="26" t="s">
        <v>153</v>
      </c>
      <c r="J152" s="26" t="s">
        <v>154</v>
      </c>
      <c r="K152" s="26" t="s">
        <v>1075</v>
      </c>
      <c r="L152" s="26" t="s">
        <v>3182</v>
      </c>
      <c r="M152" s="26" t="s">
        <v>3160</v>
      </c>
      <c r="O152" s="26" t="s">
        <v>3196</v>
      </c>
      <c r="P152" s="26" t="s">
        <v>3197</v>
      </c>
      <c r="S152" s="26" t="s">
        <v>3185</v>
      </c>
      <c r="T152" s="26">
        <v>147.89232</v>
      </c>
      <c r="U152" s="26" t="s">
        <v>217</v>
      </c>
      <c r="V152" s="26" t="s">
        <v>150</v>
      </c>
      <c r="Y152" s="26" t="s">
        <v>3166</v>
      </c>
      <c r="Z152" s="26">
        <v>29.84138368</v>
      </c>
      <c r="AA152" s="26">
        <v>0</v>
      </c>
      <c r="AB152" s="26">
        <v>0</v>
      </c>
      <c r="AC152" s="26">
        <v>28</v>
      </c>
      <c r="AD152" s="26" t="s">
        <v>1480</v>
      </c>
      <c r="AE152" s="26" t="s">
        <v>1480</v>
      </c>
      <c r="AF152" s="26" t="s">
        <v>1480</v>
      </c>
      <c r="AG152" s="26" t="s">
        <v>3198</v>
      </c>
      <c r="AI152" s="26" t="s">
        <v>167</v>
      </c>
      <c r="AJ152" s="26" t="s">
        <v>168</v>
      </c>
      <c r="AK152" s="26" t="s">
        <v>169</v>
      </c>
      <c r="AM152" s="26" t="s">
        <v>873</v>
      </c>
      <c r="AN152" s="26" t="s">
        <v>172</v>
      </c>
      <c r="AO152" s="26" t="s">
        <v>667</v>
      </c>
      <c r="AP152" s="26" t="s">
        <v>162</v>
      </c>
      <c r="AQ152" s="26" t="s">
        <v>3169</v>
      </c>
      <c r="AR152" s="26" t="s">
        <v>3170</v>
      </c>
      <c r="AS152" s="26" t="s">
        <v>381</v>
      </c>
      <c r="AU152" s="26" t="s">
        <v>3171</v>
      </c>
      <c r="AV152" s="26" t="s">
        <v>3171</v>
      </c>
      <c r="AX152" s="26" t="s">
        <v>3187</v>
      </c>
      <c r="AY152" s="26" t="s">
        <v>179</v>
      </c>
      <c r="BC152" s="26" t="s">
        <v>3159</v>
      </c>
      <c r="BD152" s="26" t="s">
        <v>180</v>
      </c>
      <c r="BE152" s="26" t="s">
        <v>181</v>
      </c>
      <c r="BF152" s="26" t="s">
        <v>167</v>
      </c>
      <c r="BH152" s="26" t="s">
        <v>162</v>
      </c>
      <c r="BI152" s="26" t="s">
        <v>182</v>
      </c>
      <c r="BJ152" s="26" t="s">
        <v>3188</v>
      </c>
      <c r="BK152" s="26" t="s">
        <v>1469</v>
      </c>
      <c r="BL152" s="26" t="s">
        <v>185</v>
      </c>
      <c r="BM152" s="26" t="s">
        <v>186</v>
      </c>
      <c r="BN152" s="26" t="s">
        <v>162</v>
      </c>
      <c r="BP152" s="26">
        <v>0</v>
      </c>
      <c r="BQ152" s="26" t="s">
        <v>666</v>
      </c>
      <c r="BR152" s="26" t="s">
        <v>667</v>
      </c>
      <c r="BS152" s="26" t="s">
        <v>230</v>
      </c>
      <c r="BT152" s="26" t="s">
        <v>185</v>
      </c>
      <c r="BV152" s="26">
        <v>21.567</v>
      </c>
      <c r="BW152" s="26">
        <v>0.14</v>
      </c>
      <c r="BZ152" s="26">
        <v>0</v>
      </c>
      <c r="CA152" s="26" t="s">
        <v>189</v>
      </c>
      <c r="CC152" s="26" t="s">
        <v>162</v>
      </c>
      <c r="CD152" s="26">
        <v>0</v>
      </c>
      <c r="CE152" s="26" t="s">
        <v>190</v>
      </c>
      <c r="CF152" s="26" t="s">
        <v>435</v>
      </c>
      <c r="CG152" s="26" t="s">
        <v>3189</v>
      </c>
      <c r="CI152" s="26" t="s">
        <v>1095</v>
      </c>
      <c r="CJ152" s="26">
        <v>154.05</v>
      </c>
      <c r="CK152" s="26">
        <v>0</v>
      </c>
      <c r="CL152" s="26">
        <v>7.7</v>
      </c>
      <c r="CM152" s="26">
        <v>25.99</v>
      </c>
      <c r="CQ152" s="26" t="s">
        <v>233</v>
      </c>
      <c r="CR152" s="26" t="s">
        <v>3174</v>
      </c>
      <c r="CS152" s="26" t="s">
        <v>3175</v>
      </c>
      <c r="CW152" s="26" t="s">
        <v>3190</v>
      </c>
      <c r="CX152" s="26" t="s">
        <v>162</v>
      </c>
      <c r="CY152" s="26" t="s">
        <v>196</v>
      </c>
      <c r="CZ152" s="26">
        <v>0</v>
      </c>
      <c r="DB152" s="26">
        <v>0</v>
      </c>
      <c r="DK152" s="26" t="s">
        <v>150</v>
      </c>
      <c r="DL152" s="26" t="s">
        <v>1391</v>
      </c>
      <c r="DM152" s="26" t="s">
        <v>3177</v>
      </c>
      <c r="DN152" s="26" t="s">
        <v>3178</v>
      </c>
      <c r="DO152" s="26" t="s">
        <v>3179</v>
      </c>
      <c r="DP152" s="26" t="s">
        <v>3180</v>
      </c>
      <c r="DR152" s="26" t="s">
        <v>189</v>
      </c>
      <c r="DS152" s="26" t="s">
        <v>189</v>
      </c>
      <c r="DT152" s="26" t="s">
        <v>189</v>
      </c>
      <c r="DU152" s="26" t="s">
        <v>189</v>
      </c>
      <c r="DV152" s="26" t="s">
        <v>203</v>
      </c>
      <c r="DW152" s="26" t="s">
        <v>162</v>
      </c>
      <c r="DX152" s="26" t="s">
        <v>162</v>
      </c>
      <c r="DY152" s="26">
        <v>0</v>
      </c>
      <c r="DZ152" s="26" t="s">
        <v>150</v>
      </c>
      <c r="EH152" s="26" t="s">
        <v>189</v>
      </c>
      <c r="EI152" s="26">
        <v>0.14</v>
      </c>
      <c r="EJ152" s="26">
        <v>21.567</v>
      </c>
      <c r="EK152" s="26">
        <v>25.99</v>
      </c>
      <c r="EL152" s="26" t="s">
        <v>3199</v>
      </c>
      <c r="EM152" s="26" t="s">
        <v>206</v>
      </c>
      <c r="EN152" s="26" t="s">
        <v>207</v>
      </c>
    </row>
    <row r="153" spans="1:144">
      <c r="A153" s="26" t="s">
        <v>145</v>
      </c>
      <c r="B153" s="26" t="s">
        <v>1556</v>
      </c>
      <c r="C153" s="26" t="s">
        <v>3200</v>
      </c>
      <c r="D153" s="26" t="s">
        <v>148</v>
      </c>
      <c r="E153" s="26" t="s">
        <v>149</v>
      </c>
      <c r="F153" s="26" t="s">
        <v>152</v>
      </c>
      <c r="G153" s="26" t="s">
        <v>151</v>
      </c>
      <c r="H153" s="26" t="s">
        <v>152</v>
      </c>
      <c r="I153" s="26" t="s">
        <v>153</v>
      </c>
      <c r="J153" s="26" t="s">
        <v>154</v>
      </c>
      <c r="K153" s="26" t="s">
        <v>1075</v>
      </c>
      <c r="L153" s="26" t="s">
        <v>2426</v>
      </c>
      <c r="M153" s="26" t="s">
        <v>3201</v>
      </c>
      <c r="N153" s="26" t="s">
        <v>3202</v>
      </c>
      <c r="O153" s="26" t="s">
        <v>3203</v>
      </c>
      <c r="P153" s="26" t="s">
        <v>3204</v>
      </c>
      <c r="Q153" s="26" t="s">
        <v>2882</v>
      </c>
      <c r="R153" s="26">
        <v>75.02682</v>
      </c>
      <c r="S153" s="26" t="s">
        <v>3205</v>
      </c>
      <c r="T153" s="26">
        <v>68.97627</v>
      </c>
      <c r="U153" s="26" t="s">
        <v>217</v>
      </c>
      <c r="V153" s="26" t="s">
        <v>150</v>
      </c>
      <c r="Y153" s="26" t="s">
        <v>3206</v>
      </c>
      <c r="Z153" s="26">
        <v>11.254023</v>
      </c>
      <c r="AA153" s="26">
        <v>0</v>
      </c>
      <c r="AB153" s="26">
        <v>0</v>
      </c>
      <c r="AC153" s="26">
        <v>9.98</v>
      </c>
      <c r="AD153" s="26" t="s">
        <v>3207</v>
      </c>
      <c r="AE153" s="26" t="s">
        <v>3207</v>
      </c>
      <c r="AF153" s="26" t="s">
        <v>3207</v>
      </c>
      <c r="AG153" s="26" t="s">
        <v>3208</v>
      </c>
      <c r="AI153" s="26" t="s">
        <v>167</v>
      </c>
      <c r="AJ153" s="26" t="s">
        <v>168</v>
      </c>
      <c r="AK153" s="26" t="s">
        <v>169</v>
      </c>
      <c r="AL153" s="26" t="s">
        <v>2197</v>
      </c>
      <c r="AM153" s="26" t="s">
        <v>754</v>
      </c>
      <c r="AN153" s="26" t="s">
        <v>172</v>
      </c>
      <c r="AO153" s="26" t="s">
        <v>3209</v>
      </c>
      <c r="AP153" s="26" t="s">
        <v>162</v>
      </c>
      <c r="AQ153" s="26" t="s">
        <v>3210</v>
      </c>
      <c r="AR153" s="26" t="s">
        <v>3211</v>
      </c>
      <c r="AS153" s="26" t="s">
        <v>3212</v>
      </c>
      <c r="AT153" s="26" t="s">
        <v>3213</v>
      </c>
      <c r="AU153" s="26" t="s">
        <v>3214</v>
      </c>
      <c r="AV153" s="26" t="s">
        <v>3214</v>
      </c>
      <c r="AX153" s="26" t="s">
        <v>3215</v>
      </c>
      <c r="AY153" s="26" t="s">
        <v>179</v>
      </c>
      <c r="BC153" s="26" t="s">
        <v>3200</v>
      </c>
      <c r="BD153" s="26" t="s">
        <v>180</v>
      </c>
      <c r="BE153" s="26" t="s">
        <v>1007</v>
      </c>
      <c r="BF153" s="26" t="s">
        <v>167</v>
      </c>
      <c r="BH153" s="26" t="s">
        <v>162</v>
      </c>
      <c r="BI153" s="26" t="s">
        <v>182</v>
      </c>
      <c r="BJ153" s="26" t="s">
        <v>3216</v>
      </c>
      <c r="BK153" s="26" t="s">
        <v>184</v>
      </c>
      <c r="BL153" s="26" t="s">
        <v>185</v>
      </c>
      <c r="BM153" s="26" t="s">
        <v>186</v>
      </c>
      <c r="BN153" s="26" t="s">
        <v>162</v>
      </c>
      <c r="BP153" s="26">
        <v>0</v>
      </c>
      <c r="BQ153" s="26" t="s">
        <v>3217</v>
      </c>
      <c r="BR153" s="26" t="s">
        <v>695</v>
      </c>
      <c r="BS153" s="26" t="s">
        <v>230</v>
      </c>
      <c r="BT153" s="26" t="s">
        <v>185</v>
      </c>
      <c r="BV153" s="26">
        <v>10.5042</v>
      </c>
      <c r="BW153" s="26">
        <v>0.14</v>
      </c>
      <c r="BZ153" s="26">
        <v>0</v>
      </c>
      <c r="CA153" s="26" t="s">
        <v>189</v>
      </c>
      <c r="CC153" s="26" t="s">
        <v>162</v>
      </c>
      <c r="CD153" s="26">
        <v>0</v>
      </c>
      <c r="CE153" s="26" t="s">
        <v>190</v>
      </c>
      <c r="CF153" s="26" t="s">
        <v>167</v>
      </c>
      <c r="CG153" s="26" t="s">
        <v>3218</v>
      </c>
      <c r="CI153" s="26" t="s">
        <v>1095</v>
      </c>
      <c r="CJ153" s="26">
        <v>75.03</v>
      </c>
      <c r="CK153" s="26">
        <v>0</v>
      </c>
      <c r="CL153" s="26">
        <v>3.75</v>
      </c>
      <c r="CM153" s="26">
        <v>14.08</v>
      </c>
      <c r="CQ153" s="26" t="s">
        <v>233</v>
      </c>
      <c r="CR153" s="26" t="s">
        <v>3219</v>
      </c>
      <c r="CS153" s="26" t="s">
        <v>3220</v>
      </c>
      <c r="CW153" s="26" t="s">
        <v>3221</v>
      </c>
      <c r="CX153" s="26" t="s">
        <v>162</v>
      </c>
      <c r="CY153" s="26" t="s">
        <v>196</v>
      </c>
      <c r="CZ153" s="26">
        <v>0</v>
      </c>
      <c r="DB153" s="26">
        <v>0</v>
      </c>
      <c r="DK153" s="26" t="s">
        <v>150</v>
      </c>
      <c r="DL153" s="26" t="s">
        <v>1421</v>
      </c>
      <c r="DM153" s="26" t="s">
        <v>3222</v>
      </c>
      <c r="DO153" s="26" t="s">
        <v>3179</v>
      </c>
      <c r="DR153" s="26" t="s">
        <v>189</v>
      </c>
      <c r="DS153" s="26" t="s">
        <v>189</v>
      </c>
      <c r="DT153" s="26" t="s">
        <v>189</v>
      </c>
      <c r="DU153" s="26" t="s">
        <v>189</v>
      </c>
      <c r="DV153" s="26" t="s">
        <v>203</v>
      </c>
      <c r="DW153" s="26" t="s">
        <v>162</v>
      </c>
      <c r="DX153" s="26" t="s">
        <v>162</v>
      </c>
      <c r="DY153" s="26">
        <v>0</v>
      </c>
      <c r="DZ153" s="26" t="s">
        <v>150</v>
      </c>
      <c r="EA153" s="26" t="s">
        <v>534</v>
      </c>
      <c r="EB153" s="26" t="s">
        <v>547</v>
      </c>
      <c r="EH153" s="26" t="s">
        <v>189</v>
      </c>
      <c r="EI153" s="26">
        <v>0.14</v>
      </c>
      <c r="EJ153" s="26">
        <v>10.5042</v>
      </c>
      <c r="EK153" s="26">
        <v>14.08</v>
      </c>
      <c r="EL153" s="26" t="s">
        <v>3223</v>
      </c>
      <c r="EM153" s="26" t="s">
        <v>1710</v>
      </c>
      <c r="EN153" s="26" t="s">
        <v>207</v>
      </c>
    </row>
    <row r="154" spans="1:144">
      <c r="A154" s="26" t="s">
        <v>145</v>
      </c>
      <c r="B154" s="26" t="s">
        <v>1556</v>
      </c>
      <c r="C154" s="26" t="s">
        <v>3224</v>
      </c>
      <c r="D154" s="26" t="s">
        <v>148</v>
      </c>
      <c r="E154" s="26" t="s">
        <v>149</v>
      </c>
      <c r="F154" s="26" t="s">
        <v>152</v>
      </c>
      <c r="G154" s="26" t="s">
        <v>151</v>
      </c>
      <c r="H154" s="26" t="s">
        <v>152</v>
      </c>
      <c r="I154" s="26" t="s">
        <v>153</v>
      </c>
      <c r="J154" s="26" t="s">
        <v>154</v>
      </c>
      <c r="K154" s="26" t="s">
        <v>1075</v>
      </c>
      <c r="L154" s="26" t="s">
        <v>2426</v>
      </c>
      <c r="M154" s="26" t="s">
        <v>3225</v>
      </c>
      <c r="N154" s="26" t="s">
        <v>3226</v>
      </c>
      <c r="O154" s="26" t="s">
        <v>2451</v>
      </c>
      <c r="P154" s="26" t="s">
        <v>2452</v>
      </c>
      <c r="Q154" s="26" t="s">
        <v>3227</v>
      </c>
      <c r="R154" s="26">
        <v>75.43019</v>
      </c>
      <c r="S154" s="26" t="s">
        <v>2453</v>
      </c>
      <c r="T154" s="26">
        <v>69.37964</v>
      </c>
      <c r="U154" s="26" t="s">
        <v>217</v>
      </c>
      <c r="V154" s="26" t="s">
        <v>150</v>
      </c>
      <c r="Y154" s="26" t="s">
        <v>3228</v>
      </c>
      <c r="Z154" s="26">
        <v>11.3145285</v>
      </c>
      <c r="AA154" s="26">
        <v>0</v>
      </c>
      <c r="AB154" s="26">
        <v>0</v>
      </c>
      <c r="AC154" s="26">
        <v>10</v>
      </c>
      <c r="AD154" s="26" t="s">
        <v>2454</v>
      </c>
      <c r="AE154" s="26" t="s">
        <v>2455</v>
      </c>
      <c r="AF154" s="26" t="s">
        <v>2455</v>
      </c>
      <c r="AG154" s="26" t="s">
        <v>3229</v>
      </c>
      <c r="AI154" s="26" t="s">
        <v>167</v>
      </c>
      <c r="AJ154" s="26" t="s">
        <v>168</v>
      </c>
      <c r="AK154" s="26" t="s">
        <v>169</v>
      </c>
      <c r="AL154" s="26" t="s">
        <v>3230</v>
      </c>
      <c r="AM154" s="26" t="s">
        <v>1894</v>
      </c>
      <c r="AN154" s="26" t="s">
        <v>172</v>
      </c>
      <c r="AO154" s="26" t="s">
        <v>2436</v>
      </c>
      <c r="AP154" s="26" t="s">
        <v>162</v>
      </c>
      <c r="AQ154" s="26" t="s">
        <v>3231</v>
      </c>
      <c r="AR154" s="26" t="s">
        <v>3232</v>
      </c>
      <c r="AS154" s="26" t="s">
        <v>321</v>
      </c>
      <c r="AU154" s="26" t="s">
        <v>3233</v>
      </c>
      <c r="AV154" s="26" t="s">
        <v>3233</v>
      </c>
      <c r="AX154" s="26" t="s">
        <v>2440</v>
      </c>
      <c r="AY154" s="26" t="s">
        <v>179</v>
      </c>
      <c r="BC154" s="26" t="s">
        <v>3224</v>
      </c>
      <c r="BD154" s="26" t="s">
        <v>180</v>
      </c>
      <c r="BE154" s="26" t="s">
        <v>1007</v>
      </c>
      <c r="BF154" s="26" t="s">
        <v>167</v>
      </c>
      <c r="BH154" s="26" t="s">
        <v>162</v>
      </c>
      <c r="BI154" s="26" t="s">
        <v>182</v>
      </c>
      <c r="BJ154" s="26" t="s">
        <v>570</v>
      </c>
      <c r="BK154" s="26" t="s">
        <v>184</v>
      </c>
      <c r="BL154" s="26" t="s">
        <v>185</v>
      </c>
      <c r="BM154" s="26" t="s">
        <v>186</v>
      </c>
      <c r="BN154" s="26" t="s">
        <v>162</v>
      </c>
      <c r="BP154" s="26">
        <v>0</v>
      </c>
      <c r="BQ154" s="26" t="s">
        <v>2442</v>
      </c>
      <c r="BS154" s="26" t="s">
        <v>304</v>
      </c>
      <c r="BT154" s="26" t="s">
        <v>185</v>
      </c>
      <c r="BV154" s="26">
        <v>10.5602</v>
      </c>
      <c r="BW154" s="26">
        <v>0.14</v>
      </c>
      <c r="BZ154" s="26">
        <v>0</v>
      </c>
      <c r="CA154" s="26" t="s">
        <v>189</v>
      </c>
      <c r="CC154" s="26" t="s">
        <v>162</v>
      </c>
      <c r="CD154" s="26">
        <v>0</v>
      </c>
      <c r="CE154" s="26" t="s">
        <v>190</v>
      </c>
      <c r="CF154" s="26" t="s">
        <v>167</v>
      </c>
      <c r="CG154" s="26" t="s">
        <v>3234</v>
      </c>
      <c r="CI154" s="26" t="s">
        <v>1095</v>
      </c>
      <c r="CJ154" s="26">
        <v>75.43</v>
      </c>
      <c r="CK154" s="26">
        <v>0</v>
      </c>
      <c r="CL154" s="26">
        <v>3.77</v>
      </c>
      <c r="CM154" s="26">
        <v>12.97</v>
      </c>
      <c r="CQ154" s="26" t="s">
        <v>233</v>
      </c>
      <c r="CR154" s="26" t="s">
        <v>3235</v>
      </c>
      <c r="CS154" s="26" t="s">
        <v>3236</v>
      </c>
      <c r="CW154" s="26" t="s">
        <v>2446</v>
      </c>
      <c r="CX154" s="26" t="s">
        <v>162</v>
      </c>
      <c r="CY154" s="26" t="s">
        <v>196</v>
      </c>
      <c r="CZ154" s="26">
        <v>0</v>
      </c>
      <c r="DB154" s="26">
        <v>0</v>
      </c>
      <c r="DK154" s="26" t="s">
        <v>150</v>
      </c>
      <c r="DL154" s="26" t="s">
        <v>390</v>
      </c>
      <c r="DM154" s="26" t="s">
        <v>3237</v>
      </c>
      <c r="DN154" s="26" t="s">
        <v>3238</v>
      </c>
      <c r="DO154" s="26" t="s">
        <v>3239</v>
      </c>
      <c r="DP154" s="26" t="s">
        <v>3240</v>
      </c>
      <c r="DR154" s="26" t="s">
        <v>189</v>
      </c>
      <c r="DS154" s="26" t="s">
        <v>189</v>
      </c>
      <c r="DT154" s="26" t="s">
        <v>189</v>
      </c>
      <c r="DU154" s="26" t="s">
        <v>189</v>
      </c>
      <c r="DV154" s="26" t="s">
        <v>203</v>
      </c>
      <c r="DW154" s="26" t="s">
        <v>162</v>
      </c>
      <c r="DX154" s="26" t="s">
        <v>162</v>
      </c>
      <c r="DY154" s="26">
        <v>0</v>
      </c>
      <c r="DZ154" s="26" t="s">
        <v>150</v>
      </c>
      <c r="EH154" s="26" t="s">
        <v>189</v>
      </c>
      <c r="EI154" s="26">
        <v>0.14</v>
      </c>
      <c r="EJ154" s="26">
        <v>10.5602</v>
      </c>
      <c r="EK154" s="26">
        <v>12.97</v>
      </c>
      <c r="EL154" s="26" t="s">
        <v>2458</v>
      </c>
      <c r="EM154" s="26" t="s">
        <v>206</v>
      </c>
      <c r="EN154" s="26" t="s">
        <v>207</v>
      </c>
    </row>
    <row r="155" spans="1:144">
      <c r="A155" s="26" t="s">
        <v>145</v>
      </c>
      <c r="B155" s="26" t="s">
        <v>763</v>
      </c>
      <c r="C155" s="26" t="s">
        <v>3241</v>
      </c>
      <c r="D155" s="26" t="s">
        <v>148</v>
      </c>
      <c r="E155" s="26" t="s">
        <v>149</v>
      </c>
      <c r="F155" s="26" t="s">
        <v>152</v>
      </c>
      <c r="G155" s="26" t="s">
        <v>151</v>
      </c>
      <c r="H155" s="26" t="s">
        <v>152</v>
      </c>
      <c r="I155" s="26" t="s">
        <v>153</v>
      </c>
      <c r="J155" s="26" t="s">
        <v>154</v>
      </c>
      <c r="K155" s="26" t="s">
        <v>244</v>
      </c>
      <c r="L155" s="26" t="s">
        <v>245</v>
      </c>
      <c r="M155" s="26" t="s">
        <v>3242</v>
      </c>
      <c r="N155" s="26" t="s">
        <v>3243</v>
      </c>
      <c r="O155" s="26" t="s">
        <v>3244</v>
      </c>
      <c r="P155" s="26" t="s">
        <v>3245</v>
      </c>
      <c r="Q155" s="26" t="s">
        <v>3246</v>
      </c>
      <c r="R155" s="26">
        <v>153.643688</v>
      </c>
      <c r="S155" s="26" t="s">
        <v>3247</v>
      </c>
      <c r="T155" s="26">
        <v>147.481508</v>
      </c>
      <c r="U155" s="26" t="s">
        <v>217</v>
      </c>
      <c r="V155" s="26" t="s">
        <v>150</v>
      </c>
      <c r="Y155" s="26" t="s">
        <v>3248</v>
      </c>
      <c r="Z155" s="26">
        <v>23.0465532</v>
      </c>
      <c r="AA155" s="26">
        <v>0</v>
      </c>
      <c r="AB155" s="26">
        <v>0</v>
      </c>
      <c r="AC155" s="26">
        <v>22</v>
      </c>
      <c r="AD155" s="26" t="s">
        <v>594</v>
      </c>
      <c r="AE155" s="26" t="s">
        <v>594</v>
      </c>
      <c r="AF155" s="26" t="s">
        <v>594</v>
      </c>
      <c r="AG155" s="26" t="s">
        <v>3249</v>
      </c>
      <c r="AI155" s="26" t="s">
        <v>167</v>
      </c>
      <c r="AJ155" s="26" t="s">
        <v>168</v>
      </c>
      <c r="AK155" s="26" t="s">
        <v>169</v>
      </c>
      <c r="AL155" s="26" t="s">
        <v>570</v>
      </c>
      <c r="AM155" s="26" t="s">
        <v>597</v>
      </c>
      <c r="AN155" s="26" t="s">
        <v>172</v>
      </c>
      <c r="AO155" s="26" t="s">
        <v>432</v>
      </c>
      <c r="AP155" s="26" t="s">
        <v>162</v>
      </c>
      <c r="AQ155" s="26" t="s">
        <v>3250</v>
      </c>
      <c r="AR155" s="26" t="s">
        <v>3251</v>
      </c>
      <c r="AS155" s="26" t="s">
        <v>600</v>
      </c>
      <c r="AU155" s="26" t="s">
        <v>3252</v>
      </c>
      <c r="AV155" s="26" t="s">
        <v>3252</v>
      </c>
      <c r="AX155" s="26" t="s">
        <v>3253</v>
      </c>
      <c r="AY155" s="26" t="s">
        <v>179</v>
      </c>
      <c r="BC155" s="26" t="s">
        <v>3241</v>
      </c>
      <c r="BD155" s="26" t="s">
        <v>180</v>
      </c>
      <c r="BE155" s="26" t="s">
        <v>181</v>
      </c>
      <c r="BF155" s="26" t="s">
        <v>167</v>
      </c>
      <c r="BH155" s="26" t="s">
        <v>162</v>
      </c>
      <c r="BI155" s="26" t="s">
        <v>182</v>
      </c>
      <c r="BJ155" s="26" t="s">
        <v>1407</v>
      </c>
      <c r="BK155" s="26" t="s">
        <v>184</v>
      </c>
      <c r="BL155" s="26" t="s">
        <v>185</v>
      </c>
      <c r="BM155" s="26" t="s">
        <v>186</v>
      </c>
      <c r="BN155" s="26" t="s">
        <v>162</v>
      </c>
      <c r="BP155" s="26">
        <v>0</v>
      </c>
      <c r="BQ155" s="26" t="s">
        <v>432</v>
      </c>
      <c r="BS155" s="26" t="s">
        <v>230</v>
      </c>
      <c r="BT155" s="26" t="s">
        <v>185</v>
      </c>
      <c r="BV155" s="26">
        <v>24.5824</v>
      </c>
      <c r="BW155" s="26">
        <v>0.16</v>
      </c>
      <c r="BZ155" s="26">
        <v>0</v>
      </c>
      <c r="CA155" s="26" t="s">
        <v>189</v>
      </c>
      <c r="CC155" s="26" t="s">
        <v>162</v>
      </c>
      <c r="CD155" s="26">
        <v>0</v>
      </c>
      <c r="CE155" s="26" t="s">
        <v>190</v>
      </c>
      <c r="CF155" s="26" t="s">
        <v>167</v>
      </c>
      <c r="CG155" s="26" t="s">
        <v>3254</v>
      </c>
      <c r="CI155" s="26" t="s">
        <v>267</v>
      </c>
      <c r="CJ155" s="26">
        <v>153.64</v>
      </c>
      <c r="CK155" s="26">
        <v>0</v>
      </c>
      <c r="CL155" s="26">
        <v>7.68</v>
      </c>
      <c r="CM155" s="26">
        <v>24.17</v>
      </c>
      <c r="CQ155" s="26" t="s">
        <v>605</v>
      </c>
      <c r="CR155" s="26" t="s">
        <v>3255</v>
      </c>
      <c r="CS155" s="26" t="s">
        <v>3256</v>
      </c>
      <c r="CW155" s="26" t="s">
        <v>3257</v>
      </c>
      <c r="CX155" s="26" t="s">
        <v>195</v>
      </c>
      <c r="CY155" s="26" t="s">
        <v>196</v>
      </c>
      <c r="CZ155" s="26">
        <v>0</v>
      </c>
      <c r="DB155" s="26">
        <v>0</v>
      </c>
      <c r="DK155" s="26" t="s">
        <v>150</v>
      </c>
      <c r="DL155" s="26" t="s">
        <v>390</v>
      </c>
      <c r="DM155" s="26" t="s">
        <v>3258</v>
      </c>
      <c r="DN155" s="26" t="s">
        <v>3259</v>
      </c>
      <c r="DO155" s="26" t="s">
        <v>3239</v>
      </c>
      <c r="DP155" s="26" t="s">
        <v>3260</v>
      </c>
      <c r="DR155" s="26" t="s">
        <v>189</v>
      </c>
      <c r="DS155" s="26" t="s">
        <v>189</v>
      </c>
      <c r="DT155" s="26" t="s">
        <v>189</v>
      </c>
      <c r="DU155" s="26" t="s">
        <v>189</v>
      </c>
      <c r="DV155" s="26" t="s">
        <v>203</v>
      </c>
      <c r="DW155" s="26" t="s">
        <v>162</v>
      </c>
      <c r="DX155" s="26" t="s">
        <v>162</v>
      </c>
      <c r="DY155" s="26">
        <v>0</v>
      </c>
      <c r="DZ155" s="26" t="s">
        <v>150</v>
      </c>
      <c r="EH155" s="26" t="s">
        <v>189</v>
      </c>
      <c r="EI155" s="26">
        <v>0.16</v>
      </c>
      <c r="EJ155" s="26">
        <v>24.5824</v>
      </c>
      <c r="EK155" s="26">
        <v>24.17</v>
      </c>
      <c r="EL155" s="26" t="s">
        <v>3261</v>
      </c>
      <c r="EM155" s="26" t="s">
        <v>206</v>
      </c>
      <c r="EN155" s="26" t="s">
        <v>207</v>
      </c>
    </row>
    <row r="156" spans="1:144">
      <c r="A156" s="26" t="s">
        <v>145</v>
      </c>
      <c r="B156" s="26" t="s">
        <v>763</v>
      </c>
      <c r="C156" s="26" t="s">
        <v>3262</v>
      </c>
      <c r="D156" s="26" t="s">
        <v>148</v>
      </c>
      <c r="E156" s="26" t="s">
        <v>149</v>
      </c>
      <c r="F156" s="26" t="s">
        <v>152</v>
      </c>
      <c r="G156" s="26" t="s">
        <v>151</v>
      </c>
      <c r="H156" s="26" t="s">
        <v>152</v>
      </c>
      <c r="I156" s="26" t="s">
        <v>153</v>
      </c>
      <c r="J156" s="26" t="s">
        <v>154</v>
      </c>
      <c r="K156" s="26" t="s">
        <v>1075</v>
      </c>
      <c r="L156" s="26" t="s">
        <v>3263</v>
      </c>
      <c r="M156" s="26" t="s">
        <v>3264</v>
      </c>
      <c r="N156" s="26" t="s">
        <v>3265</v>
      </c>
      <c r="O156" s="26" t="s">
        <v>3266</v>
      </c>
      <c r="P156" s="26" t="s">
        <v>3267</v>
      </c>
      <c r="Q156" s="26" t="s">
        <v>2534</v>
      </c>
      <c r="R156" s="26">
        <v>119.957104</v>
      </c>
      <c r="S156" s="26" t="s">
        <v>2813</v>
      </c>
      <c r="T156" s="26">
        <v>58.335304</v>
      </c>
      <c r="U156" s="26" t="s">
        <v>217</v>
      </c>
      <c r="V156" s="26" t="s">
        <v>150</v>
      </c>
      <c r="Y156" s="26" t="s">
        <v>3268</v>
      </c>
      <c r="Z156" s="26">
        <v>8.9967828</v>
      </c>
      <c r="AA156" s="26">
        <v>0</v>
      </c>
      <c r="AB156" s="26">
        <v>0</v>
      </c>
      <c r="AC156" s="26">
        <v>5.51</v>
      </c>
      <c r="AD156" s="26" t="s">
        <v>3269</v>
      </c>
      <c r="AE156" s="26" t="s">
        <v>3269</v>
      </c>
      <c r="AF156" s="26" t="s">
        <v>3269</v>
      </c>
      <c r="AG156" s="26" t="s">
        <v>3270</v>
      </c>
      <c r="AI156" s="26" t="s">
        <v>167</v>
      </c>
      <c r="AJ156" s="26" t="s">
        <v>168</v>
      </c>
      <c r="AK156" s="26" t="s">
        <v>169</v>
      </c>
      <c r="AL156" s="26" t="s">
        <v>3271</v>
      </c>
      <c r="AM156" s="26" t="s">
        <v>3272</v>
      </c>
      <c r="AN156" s="26" t="s">
        <v>172</v>
      </c>
      <c r="AO156" s="26" t="s">
        <v>3273</v>
      </c>
      <c r="AP156" s="26" t="s">
        <v>167</v>
      </c>
      <c r="AQ156" s="26" t="s">
        <v>3274</v>
      </c>
      <c r="AR156" s="26" t="s">
        <v>3275</v>
      </c>
      <c r="AS156" s="26" t="s">
        <v>3147</v>
      </c>
      <c r="AU156" s="26" t="s">
        <v>3276</v>
      </c>
      <c r="AV156" s="26" t="s">
        <v>3276</v>
      </c>
      <c r="AX156" s="26" t="s">
        <v>3277</v>
      </c>
      <c r="AY156" s="26" t="s">
        <v>179</v>
      </c>
      <c r="BC156" s="26" t="s">
        <v>3262</v>
      </c>
      <c r="BD156" s="26" t="s">
        <v>180</v>
      </c>
      <c r="BE156" s="26" t="s">
        <v>1007</v>
      </c>
      <c r="BF156" s="26" t="s">
        <v>167</v>
      </c>
      <c r="BH156" s="26" t="s">
        <v>162</v>
      </c>
      <c r="BI156" s="26" t="s">
        <v>182</v>
      </c>
      <c r="BJ156" s="26" t="s">
        <v>251</v>
      </c>
      <c r="BK156" s="26" t="s">
        <v>264</v>
      </c>
      <c r="BL156" s="26" t="s">
        <v>185</v>
      </c>
      <c r="BM156" s="26" t="s">
        <v>186</v>
      </c>
      <c r="BN156" s="26" t="s">
        <v>162</v>
      </c>
      <c r="BP156" s="26">
        <v>0</v>
      </c>
      <c r="BS156" s="26" t="s">
        <v>230</v>
      </c>
      <c r="BT156" s="26" t="s">
        <v>185</v>
      </c>
      <c r="BV156" s="26">
        <v>9.03</v>
      </c>
      <c r="BW156" s="26">
        <v>0.14</v>
      </c>
      <c r="BZ156" s="26">
        <v>0</v>
      </c>
      <c r="CA156" s="26" t="s">
        <v>189</v>
      </c>
      <c r="CC156" s="26" t="s">
        <v>162</v>
      </c>
      <c r="CD156" s="26">
        <v>0</v>
      </c>
      <c r="CE156" s="26" t="s">
        <v>190</v>
      </c>
      <c r="CF156" s="26" t="s">
        <v>167</v>
      </c>
      <c r="CG156" s="26" t="s">
        <v>3278</v>
      </c>
      <c r="CI156" s="26" t="s">
        <v>1095</v>
      </c>
      <c r="CJ156" s="26">
        <v>64.5</v>
      </c>
      <c r="CK156" s="26">
        <v>0</v>
      </c>
      <c r="CL156" s="26">
        <v>3.23</v>
      </c>
      <c r="CM156" s="26">
        <v>9.71</v>
      </c>
      <c r="CQ156" s="26" t="s">
        <v>605</v>
      </c>
      <c r="CR156" s="26" t="s">
        <v>3279</v>
      </c>
      <c r="CS156" s="26" t="s">
        <v>3280</v>
      </c>
      <c r="CW156" s="26" t="s">
        <v>3281</v>
      </c>
      <c r="CX156" s="26" t="s">
        <v>162</v>
      </c>
      <c r="CY156" s="26" t="s">
        <v>196</v>
      </c>
      <c r="CZ156" s="26">
        <v>0</v>
      </c>
      <c r="DB156" s="26">
        <v>0</v>
      </c>
      <c r="DK156" s="26" t="s">
        <v>150</v>
      </c>
      <c r="DL156" s="26" t="s">
        <v>3282</v>
      </c>
      <c r="DM156" s="26" t="s">
        <v>3283</v>
      </c>
      <c r="DN156" s="26" t="s">
        <v>3284</v>
      </c>
      <c r="DO156" s="26" t="s">
        <v>3239</v>
      </c>
      <c r="DP156" s="26" t="s">
        <v>3285</v>
      </c>
      <c r="DR156" s="26" t="s">
        <v>189</v>
      </c>
      <c r="DS156" s="26" t="s">
        <v>189</v>
      </c>
      <c r="DT156" s="26" t="s">
        <v>189</v>
      </c>
      <c r="DU156" s="26" t="s">
        <v>189</v>
      </c>
      <c r="DV156" s="26" t="s">
        <v>203</v>
      </c>
      <c r="DW156" s="26" t="s">
        <v>162</v>
      </c>
      <c r="DX156" s="26" t="s">
        <v>162</v>
      </c>
      <c r="DY156" s="26">
        <v>0</v>
      </c>
      <c r="DZ156" s="26" t="s">
        <v>150</v>
      </c>
      <c r="EH156" s="26" t="s">
        <v>189</v>
      </c>
      <c r="EI156" s="26">
        <v>0.14</v>
      </c>
      <c r="EJ156" s="26">
        <v>9.03</v>
      </c>
      <c r="EK156" s="26">
        <v>9.71</v>
      </c>
      <c r="EL156" s="26" t="s">
        <v>3286</v>
      </c>
      <c r="EM156" s="26" t="s">
        <v>206</v>
      </c>
      <c r="EN156" s="26" t="s">
        <v>207</v>
      </c>
    </row>
    <row r="157" spans="1:144">
      <c r="A157" s="26" t="s">
        <v>145</v>
      </c>
      <c r="B157" s="26" t="s">
        <v>763</v>
      </c>
      <c r="C157" s="26" t="s">
        <v>3262</v>
      </c>
      <c r="D157" s="26" t="s">
        <v>148</v>
      </c>
      <c r="E157" s="26" t="s">
        <v>149</v>
      </c>
      <c r="F157" s="26" t="s">
        <v>152</v>
      </c>
      <c r="G157" s="26" t="s">
        <v>151</v>
      </c>
      <c r="H157" s="26" t="s">
        <v>152</v>
      </c>
      <c r="I157" s="26" t="s">
        <v>153</v>
      </c>
      <c r="J157" s="26" t="s">
        <v>154</v>
      </c>
      <c r="K157" s="26" t="s">
        <v>1075</v>
      </c>
      <c r="L157" s="26" t="s">
        <v>3263</v>
      </c>
      <c r="M157" s="26" t="s">
        <v>3264</v>
      </c>
      <c r="O157" s="26" t="s">
        <v>3287</v>
      </c>
      <c r="P157" s="26" t="s">
        <v>3288</v>
      </c>
      <c r="S157" s="26" t="s">
        <v>1106</v>
      </c>
      <c r="T157" s="26">
        <v>49.29744</v>
      </c>
      <c r="U157" s="26" t="s">
        <v>217</v>
      </c>
      <c r="V157" s="26" t="s">
        <v>150</v>
      </c>
      <c r="Y157" s="26" t="s">
        <v>3268</v>
      </c>
      <c r="Z157" s="26">
        <v>8.9967828</v>
      </c>
      <c r="AA157" s="26">
        <v>0</v>
      </c>
      <c r="AB157" s="26">
        <v>0</v>
      </c>
      <c r="AC157" s="26">
        <v>3.2</v>
      </c>
      <c r="AD157" s="26" t="s">
        <v>2554</v>
      </c>
      <c r="AE157" s="26" t="s">
        <v>2554</v>
      </c>
      <c r="AF157" s="26" t="s">
        <v>2554</v>
      </c>
      <c r="AG157" s="26" t="s">
        <v>3289</v>
      </c>
      <c r="AI157" s="26" t="s">
        <v>167</v>
      </c>
      <c r="AJ157" s="26" t="s">
        <v>168</v>
      </c>
      <c r="AK157" s="26" t="s">
        <v>169</v>
      </c>
      <c r="AM157" s="26" t="s">
        <v>3290</v>
      </c>
      <c r="AN157" s="26" t="s">
        <v>172</v>
      </c>
      <c r="AO157" s="26" t="s">
        <v>1340</v>
      </c>
      <c r="AP157" s="26" t="s">
        <v>162</v>
      </c>
      <c r="AQ157" s="26" t="s">
        <v>3274</v>
      </c>
      <c r="AR157" s="26" t="s">
        <v>3275</v>
      </c>
      <c r="AS157" s="26" t="s">
        <v>321</v>
      </c>
      <c r="AU157" s="26" t="s">
        <v>3276</v>
      </c>
      <c r="AV157" s="26" t="s">
        <v>3276</v>
      </c>
      <c r="AX157" s="26" t="s">
        <v>3291</v>
      </c>
      <c r="AY157" s="26" t="s">
        <v>179</v>
      </c>
      <c r="BC157" s="26" t="s">
        <v>3262</v>
      </c>
      <c r="BD157" s="26" t="s">
        <v>180</v>
      </c>
      <c r="BE157" s="26" t="s">
        <v>1007</v>
      </c>
      <c r="BF157" s="26" t="s">
        <v>167</v>
      </c>
      <c r="BG157" s="26">
        <v>0.1</v>
      </c>
      <c r="BH157" s="26" t="s">
        <v>162</v>
      </c>
      <c r="BI157" s="26" t="s">
        <v>182</v>
      </c>
      <c r="BJ157" s="26" t="s">
        <v>3292</v>
      </c>
      <c r="BK157" s="26" t="s">
        <v>264</v>
      </c>
      <c r="BL157" s="26" t="s">
        <v>185</v>
      </c>
      <c r="BM157" s="26" t="s">
        <v>186</v>
      </c>
      <c r="BN157" s="26" t="s">
        <v>162</v>
      </c>
      <c r="BP157" s="26">
        <v>0</v>
      </c>
      <c r="BQ157" s="26" t="s">
        <v>666</v>
      </c>
      <c r="BS157" s="26" t="s">
        <v>230</v>
      </c>
      <c r="BT157" s="26" t="s">
        <v>185</v>
      </c>
      <c r="BV157" s="26">
        <v>7.7644</v>
      </c>
      <c r="BW157" s="26">
        <v>0.14</v>
      </c>
      <c r="BZ157" s="26">
        <v>0</v>
      </c>
      <c r="CA157" s="26" t="s">
        <v>189</v>
      </c>
      <c r="CC157" s="26" t="s">
        <v>162</v>
      </c>
      <c r="CD157" s="26">
        <v>0</v>
      </c>
      <c r="CE157" s="26" t="s">
        <v>190</v>
      </c>
      <c r="CF157" s="26" t="s">
        <v>195</v>
      </c>
      <c r="CG157" s="26" t="s">
        <v>3293</v>
      </c>
      <c r="CI157" s="26" t="s">
        <v>1095</v>
      </c>
      <c r="CJ157" s="26">
        <v>55.46</v>
      </c>
      <c r="CK157" s="26">
        <v>0</v>
      </c>
      <c r="CL157" s="26">
        <v>2.77</v>
      </c>
      <c r="CM157" s="26">
        <v>18.64</v>
      </c>
      <c r="CQ157" s="26" t="s">
        <v>233</v>
      </c>
      <c r="CR157" s="26" t="s">
        <v>3279</v>
      </c>
      <c r="CS157" s="26" t="s">
        <v>3280</v>
      </c>
      <c r="CW157" s="26" t="s">
        <v>3294</v>
      </c>
      <c r="CX157" s="26" t="s">
        <v>162</v>
      </c>
      <c r="CY157" s="26" t="s">
        <v>196</v>
      </c>
      <c r="CZ157" s="26">
        <v>0</v>
      </c>
      <c r="DB157" s="26">
        <v>0</v>
      </c>
      <c r="DK157" s="26" t="s">
        <v>150</v>
      </c>
      <c r="DL157" s="26" t="s">
        <v>3282</v>
      </c>
      <c r="DM157" s="26" t="s">
        <v>3283</v>
      </c>
      <c r="DN157" s="26" t="s">
        <v>3284</v>
      </c>
      <c r="DO157" s="26" t="s">
        <v>3239</v>
      </c>
      <c r="DP157" s="26" t="s">
        <v>3285</v>
      </c>
      <c r="DR157" s="26" t="s">
        <v>189</v>
      </c>
      <c r="DS157" s="26" t="s">
        <v>189</v>
      </c>
      <c r="DT157" s="26" t="s">
        <v>189</v>
      </c>
      <c r="DU157" s="26" t="s">
        <v>189</v>
      </c>
      <c r="DV157" s="26" t="s">
        <v>203</v>
      </c>
      <c r="DW157" s="26" t="s">
        <v>162</v>
      </c>
      <c r="DX157" s="26" t="s">
        <v>162</v>
      </c>
      <c r="DY157" s="26">
        <v>0</v>
      </c>
      <c r="DZ157" s="26" t="s">
        <v>150</v>
      </c>
      <c r="EH157" s="26" t="s">
        <v>189</v>
      </c>
      <c r="EI157" s="26">
        <v>0.14</v>
      </c>
      <c r="EJ157" s="26">
        <v>7.7644</v>
      </c>
      <c r="EK157" s="26">
        <v>18.64</v>
      </c>
      <c r="EL157" s="26" t="s">
        <v>3295</v>
      </c>
      <c r="EM157" s="26" t="s">
        <v>206</v>
      </c>
      <c r="EN157" s="26" t="s">
        <v>207</v>
      </c>
    </row>
    <row r="158" spans="1:144">
      <c r="A158" s="26" t="s">
        <v>145</v>
      </c>
      <c r="B158" s="26" t="s">
        <v>763</v>
      </c>
      <c r="C158" s="26" t="s">
        <v>3296</v>
      </c>
      <c r="D158" s="26" t="s">
        <v>148</v>
      </c>
      <c r="E158" s="26" t="s">
        <v>149</v>
      </c>
      <c r="F158" s="26" t="s">
        <v>152</v>
      </c>
      <c r="G158" s="26" t="s">
        <v>151</v>
      </c>
      <c r="H158" s="26" t="s">
        <v>152</v>
      </c>
      <c r="I158" s="26" t="s">
        <v>153</v>
      </c>
      <c r="J158" s="26" t="s">
        <v>154</v>
      </c>
      <c r="K158" s="26" t="s">
        <v>474</v>
      </c>
      <c r="L158" s="26" t="s">
        <v>2075</v>
      </c>
      <c r="M158" s="26" t="s">
        <v>3297</v>
      </c>
      <c r="N158" s="26" t="s">
        <v>3298</v>
      </c>
      <c r="O158" s="26" t="s">
        <v>3299</v>
      </c>
      <c r="P158" s="26" t="s">
        <v>3300</v>
      </c>
      <c r="Q158" s="26" t="s">
        <v>3301</v>
      </c>
      <c r="R158" s="26">
        <v>352.476696</v>
      </c>
      <c r="S158" s="26" t="s">
        <v>2802</v>
      </c>
      <c r="T158" s="26">
        <v>170.076168</v>
      </c>
      <c r="U158" s="26" t="s">
        <v>217</v>
      </c>
      <c r="V158" s="26" t="s">
        <v>150</v>
      </c>
      <c r="Y158" s="26" t="s">
        <v>3302</v>
      </c>
      <c r="Z158" s="26">
        <v>26.4357522</v>
      </c>
      <c r="AA158" s="26">
        <v>0</v>
      </c>
      <c r="AB158" s="26">
        <v>0</v>
      </c>
      <c r="AC158" s="26">
        <v>36</v>
      </c>
      <c r="AD158" s="26" t="s">
        <v>253</v>
      </c>
      <c r="AE158" s="26" t="s">
        <v>253</v>
      </c>
      <c r="AF158" s="26" t="s">
        <v>253</v>
      </c>
      <c r="AG158" s="26" t="s">
        <v>3303</v>
      </c>
      <c r="AI158" s="26" t="s">
        <v>167</v>
      </c>
      <c r="AJ158" s="26" t="s">
        <v>168</v>
      </c>
      <c r="AK158" s="26" t="s">
        <v>169</v>
      </c>
      <c r="AL158" s="26" t="s">
        <v>3304</v>
      </c>
      <c r="AM158" s="26" t="s">
        <v>1940</v>
      </c>
      <c r="AN158" s="26" t="s">
        <v>172</v>
      </c>
      <c r="AO158" s="26" t="s">
        <v>3305</v>
      </c>
      <c r="AP158" s="26" t="s">
        <v>162</v>
      </c>
      <c r="AQ158" s="26" t="s">
        <v>3306</v>
      </c>
      <c r="AR158" s="26" t="s">
        <v>3307</v>
      </c>
      <c r="AS158" s="26" t="s">
        <v>1898</v>
      </c>
      <c r="AU158" s="26" t="s">
        <v>3308</v>
      </c>
      <c r="AV158" s="26" t="s">
        <v>3308</v>
      </c>
      <c r="AX158" s="26" t="s">
        <v>3309</v>
      </c>
      <c r="AY158" s="26" t="s">
        <v>179</v>
      </c>
      <c r="BC158" s="26" t="s">
        <v>3296</v>
      </c>
      <c r="BD158" s="26" t="s">
        <v>180</v>
      </c>
      <c r="BE158" s="26" t="s">
        <v>181</v>
      </c>
      <c r="BF158" s="26" t="s">
        <v>167</v>
      </c>
      <c r="BH158" s="26" t="s">
        <v>162</v>
      </c>
      <c r="BI158" s="26" t="s">
        <v>182</v>
      </c>
      <c r="BJ158" s="26" t="s">
        <v>3310</v>
      </c>
      <c r="BK158" s="26" t="s">
        <v>264</v>
      </c>
      <c r="BL158" s="26" t="s">
        <v>185</v>
      </c>
      <c r="BM158" s="26" t="s">
        <v>186</v>
      </c>
      <c r="BN158" s="26" t="s">
        <v>162</v>
      </c>
      <c r="BP158" s="26">
        <v>0</v>
      </c>
      <c r="BQ158" s="26" t="s">
        <v>2094</v>
      </c>
      <c r="BS158" s="26" t="s">
        <v>230</v>
      </c>
      <c r="BT158" s="26" t="s">
        <v>185</v>
      </c>
      <c r="BV158" s="26">
        <v>28.1984</v>
      </c>
      <c r="BW158" s="26">
        <v>0.16</v>
      </c>
      <c r="BZ158" s="26">
        <v>0</v>
      </c>
      <c r="CA158" s="26" t="s">
        <v>189</v>
      </c>
      <c r="CC158" s="26" t="s">
        <v>162</v>
      </c>
      <c r="CD158" s="26">
        <v>0</v>
      </c>
      <c r="CE158" s="26" t="s">
        <v>190</v>
      </c>
      <c r="CF158" s="26" t="s">
        <v>195</v>
      </c>
      <c r="CG158" s="26" t="s">
        <v>3311</v>
      </c>
      <c r="CI158" s="26" t="s">
        <v>496</v>
      </c>
      <c r="CJ158" s="26">
        <v>176.24</v>
      </c>
      <c r="CK158" s="26">
        <v>0</v>
      </c>
      <c r="CL158" s="26">
        <v>8.81</v>
      </c>
      <c r="CM158" s="26">
        <v>37.33</v>
      </c>
      <c r="CQ158" s="26" t="s">
        <v>233</v>
      </c>
      <c r="CR158" s="26" t="s">
        <v>3312</v>
      </c>
      <c r="CS158" s="26" t="s">
        <v>3313</v>
      </c>
      <c r="CW158" s="26" t="s">
        <v>3314</v>
      </c>
      <c r="CX158" s="26" t="s">
        <v>162</v>
      </c>
      <c r="CY158" s="26" t="s">
        <v>196</v>
      </c>
      <c r="CZ158" s="26">
        <v>0</v>
      </c>
      <c r="DB158" s="26">
        <v>0</v>
      </c>
      <c r="DK158" s="26" t="s">
        <v>150</v>
      </c>
      <c r="DL158" s="26" t="s">
        <v>581</v>
      </c>
      <c r="DM158" s="26" t="s">
        <v>3315</v>
      </c>
      <c r="DN158" s="26" t="s">
        <v>3316</v>
      </c>
      <c r="DO158" s="26" t="s">
        <v>3317</v>
      </c>
      <c r="DP158" s="26" t="s">
        <v>3318</v>
      </c>
      <c r="DR158" s="26" t="s">
        <v>189</v>
      </c>
      <c r="DS158" s="26" t="s">
        <v>189</v>
      </c>
      <c r="DT158" s="26" t="s">
        <v>189</v>
      </c>
      <c r="DU158" s="26" t="s">
        <v>189</v>
      </c>
      <c r="DV158" s="26" t="s">
        <v>203</v>
      </c>
      <c r="DW158" s="26" t="s">
        <v>162</v>
      </c>
      <c r="DX158" s="26" t="s">
        <v>162</v>
      </c>
      <c r="DY158" s="26">
        <v>0</v>
      </c>
      <c r="DZ158" s="26" t="s">
        <v>150</v>
      </c>
      <c r="EH158" s="26" t="s">
        <v>189</v>
      </c>
      <c r="EI158" s="26">
        <v>0.16</v>
      </c>
      <c r="EJ158" s="26">
        <v>28.1984</v>
      </c>
      <c r="EK158" s="26">
        <v>37.33</v>
      </c>
      <c r="EL158" s="26" t="s">
        <v>3319</v>
      </c>
      <c r="EM158" s="26" t="s">
        <v>206</v>
      </c>
      <c r="EN158" s="26" t="s">
        <v>207</v>
      </c>
    </row>
    <row r="159" spans="1:144">
      <c r="A159" s="26" t="s">
        <v>145</v>
      </c>
      <c r="B159" s="26" t="s">
        <v>763</v>
      </c>
      <c r="C159" s="26" t="s">
        <v>3296</v>
      </c>
      <c r="D159" s="26" t="s">
        <v>148</v>
      </c>
      <c r="E159" s="26" t="s">
        <v>149</v>
      </c>
      <c r="F159" s="26" t="s">
        <v>152</v>
      </c>
      <c r="G159" s="26" t="s">
        <v>151</v>
      </c>
      <c r="H159" s="26" t="s">
        <v>152</v>
      </c>
      <c r="I159" s="26" t="s">
        <v>153</v>
      </c>
      <c r="J159" s="26" t="s">
        <v>154</v>
      </c>
      <c r="K159" s="26" t="s">
        <v>474</v>
      </c>
      <c r="L159" s="26" t="s">
        <v>2075</v>
      </c>
      <c r="M159" s="26" t="s">
        <v>3297</v>
      </c>
      <c r="O159" s="26" t="s">
        <v>3320</v>
      </c>
      <c r="P159" s="26" t="s">
        <v>3321</v>
      </c>
      <c r="S159" s="26" t="s">
        <v>2802</v>
      </c>
      <c r="T159" s="26">
        <v>170.076168</v>
      </c>
      <c r="U159" s="26" t="s">
        <v>217</v>
      </c>
      <c r="V159" s="26" t="s">
        <v>150</v>
      </c>
      <c r="Y159" s="26" t="s">
        <v>3302</v>
      </c>
      <c r="Z159" s="26">
        <v>26.4357522</v>
      </c>
      <c r="AA159" s="26">
        <v>0</v>
      </c>
      <c r="AB159" s="26">
        <v>0</v>
      </c>
      <c r="AC159" s="26">
        <v>36</v>
      </c>
      <c r="AD159" s="26" t="s">
        <v>253</v>
      </c>
      <c r="AE159" s="26" t="s">
        <v>253</v>
      </c>
      <c r="AF159" s="26" t="s">
        <v>253</v>
      </c>
      <c r="AG159" s="26" t="s">
        <v>3303</v>
      </c>
      <c r="AI159" s="26" t="s">
        <v>167</v>
      </c>
      <c r="AJ159" s="26" t="s">
        <v>168</v>
      </c>
      <c r="AK159" s="26" t="s">
        <v>169</v>
      </c>
      <c r="AM159" s="26" t="s">
        <v>1940</v>
      </c>
      <c r="AN159" s="26" t="s">
        <v>172</v>
      </c>
      <c r="AO159" s="26" t="s">
        <v>3305</v>
      </c>
      <c r="AP159" s="26" t="s">
        <v>162</v>
      </c>
      <c r="AQ159" s="26" t="s">
        <v>3306</v>
      </c>
      <c r="AR159" s="26" t="s">
        <v>3307</v>
      </c>
      <c r="AS159" s="26" t="s">
        <v>1898</v>
      </c>
      <c r="AU159" s="26" t="s">
        <v>3308</v>
      </c>
      <c r="AV159" s="26" t="s">
        <v>3308</v>
      </c>
      <c r="AX159" s="26" t="s">
        <v>3309</v>
      </c>
      <c r="AY159" s="26" t="s">
        <v>179</v>
      </c>
      <c r="BC159" s="26" t="s">
        <v>3296</v>
      </c>
      <c r="BD159" s="26" t="s">
        <v>180</v>
      </c>
      <c r="BE159" s="26" t="s">
        <v>181</v>
      </c>
      <c r="BF159" s="26" t="s">
        <v>167</v>
      </c>
      <c r="BH159" s="26" t="s">
        <v>162</v>
      </c>
      <c r="BI159" s="26" t="s">
        <v>182</v>
      </c>
      <c r="BJ159" s="26" t="s">
        <v>3310</v>
      </c>
      <c r="BK159" s="26" t="s">
        <v>264</v>
      </c>
      <c r="BL159" s="26" t="s">
        <v>185</v>
      </c>
      <c r="BM159" s="26" t="s">
        <v>186</v>
      </c>
      <c r="BN159" s="26" t="s">
        <v>162</v>
      </c>
      <c r="BP159" s="26">
        <v>0</v>
      </c>
      <c r="BQ159" s="26" t="s">
        <v>2094</v>
      </c>
      <c r="BS159" s="26" t="s">
        <v>230</v>
      </c>
      <c r="BT159" s="26" t="s">
        <v>185</v>
      </c>
      <c r="BV159" s="26">
        <v>28.1984</v>
      </c>
      <c r="BW159" s="26">
        <v>0.16</v>
      </c>
      <c r="BZ159" s="26">
        <v>0</v>
      </c>
      <c r="CA159" s="26" t="s">
        <v>189</v>
      </c>
      <c r="CC159" s="26" t="s">
        <v>162</v>
      </c>
      <c r="CD159" s="26">
        <v>0</v>
      </c>
      <c r="CE159" s="26" t="s">
        <v>190</v>
      </c>
      <c r="CF159" s="26" t="s">
        <v>167</v>
      </c>
      <c r="CG159" s="26" t="s">
        <v>3322</v>
      </c>
      <c r="CI159" s="26" t="s">
        <v>496</v>
      </c>
      <c r="CJ159" s="26">
        <v>176.24</v>
      </c>
      <c r="CK159" s="26">
        <v>0</v>
      </c>
      <c r="CL159" s="26">
        <v>8.81</v>
      </c>
      <c r="CM159" s="26">
        <v>37.33</v>
      </c>
      <c r="CQ159" s="26" t="s">
        <v>233</v>
      </c>
      <c r="CR159" s="26" t="s">
        <v>3312</v>
      </c>
      <c r="CS159" s="26" t="s">
        <v>3313</v>
      </c>
      <c r="CW159" s="26" t="s">
        <v>3314</v>
      </c>
      <c r="CX159" s="26" t="s">
        <v>162</v>
      </c>
      <c r="CY159" s="26" t="s">
        <v>196</v>
      </c>
      <c r="CZ159" s="26">
        <v>0</v>
      </c>
      <c r="DB159" s="26">
        <v>0</v>
      </c>
      <c r="DK159" s="26" t="s">
        <v>150</v>
      </c>
      <c r="DL159" s="26" t="s">
        <v>581</v>
      </c>
      <c r="DM159" s="26" t="s">
        <v>3315</v>
      </c>
      <c r="DN159" s="26" t="s">
        <v>3316</v>
      </c>
      <c r="DO159" s="26" t="s">
        <v>3317</v>
      </c>
      <c r="DP159" s="26" t="s">
        <v>3318</v>
      </c>
      <c r="DR159" s="26" t="s">
        <v>189</v>
      </c>
      <c r="DS159" s="26" t="s">
        <v>189</v>
      </c>
      <c r="DT159" s="26" t="s">
        <v>189</v>
      </c>
      <c r="DU159" s="26" t="s">
        <v>189</v>
      </c>
      <c r="DV159" s="26" t="s">
        <v>203</v>
      </c>
      <c r="DW159" s="26" t="s">
        <v>162</v>
      </c>
      <c r="DX159" s="26" t="s">
        <v>162</v>
      </c>
      <c r="DY159" s="26">
        <v>0</v>
      </c>
      <c r="DZ159" s="26" t="s">
        <v>150</v>
      </c>
      <c r="EH159" s="26" t="s">
        <v>189</v>
      </c>
      <c r="EI159" s="26">
        <v>0.16</v>
      </c>
      <c r="EJ159" s="26">
        <v>28.1984</v>
      </c>
      <c r="EK159" s="26">
        <v>37.33</v>
      </c>
      <c r="EL159" s="26" t="s">
        <v>3323</v>
      </c>
      <c r="EM159" s="26" t="s">
        <v>206</v>
      </c>
      <c r="EN159" s="26" t="s">
        <v>207</v>
      </c>
    </row>
    <row r="160" spans="1:144">
      <c r="A160" s="26" t="s">
        <v>145</v>
      </c>
      <c r="B160" s="26" t="s">
        <v>1556</v>
      </c>
      <c r="C160" s="26" t="s">
        <v>3324</v>
      </c>
      <c r="D160" s="26" t="s">
        <v>148</v>
      </c>
      <c r="E160" s="26" t="s">
        <v>149</v>
      </c>
      <c r="F160" s="26" t="s">
        <v>152</v>
      </c>
      <c r="G160" s="26" t="s">
        <v>151</v>
      </c>
      <c r="H160" s="26" t="s">
        <v>152</v>
      </c>
      <c r="I160" s="26" t="s">
        <v>153</v>
      </c>
      <c r="J160" s="26" t="s">
        <v>154</v>
      </c>
      <c r="K160" s="26" t="s">
        <v>244</v>
      </c>
      <c r="L160" s="26" t="s">
        <v>245</v>
      </c>
      <c r="M160" s="26" t="s">
        <v>3325</v>
      </c>
      <c r="N160" s="26" t="s">
        <v>3326</v>
      </c>
      <c r="O160" s="26" t="s">
        <v>3327</v>
      </c>
      <c r="P160" s="26" t="s">
        <v>3328</v>
      </c>
      <c r="Q160" s="26" t="s">
        <v>3329</v>
      </c>
      <c r="R160" s="26">
        <v>156.91093</v>
      </c>
      <c r="S160" s="26" t="s">
        <v>3246</v>
      </c>
      <c r="T160" s="26">
        <v>150.86038</v>
      </c>
      <c r="U160" s="26" t="s">
        <v>217</v>
      </c>
      <c r="V160" s="26" t="s">
        <v>150</v>
      </c>
      <c r="Y160" s="26" t="s">
        <v>3330</v>
      </c>
      <c r="Z160" s="26">
        <v>23.5366395</v>
      </c>
      <c r="AA160" s="26">
        <v>0</v>
      </c>
      <c r="AB160" s="26">
        <v>0</v>
      </c>
      <c r="AC160" s="26">
        <v>26</v>
      </c>
      <c r="AD160" s="26" t="s">
        <v>1434</v>
      </c>
      <c r="AE160" s="26" t="s">
        <v>1434</v>
      </c>
      <c r="AF160" s="26" t="s">
        <v>1434</v>
      </c>
      <c r="AG160" s="26" t="s">
        <v>3331</v>
      </c>
      <c r="AI160" s="26" t="s">
        <v>167</v>
      </c>
      <c r="AJ160" s="26" t="s">
        <v>797</v>
      </c>
      <c r="AK160" s="26" t="s">
        <v>798</v>
      </c>
      <c r="AL160" s="26" t="s">
        <v>2027</v>
      </c>
      <c r="AM160" s="26" t="s">
        <v>3332</v>
      </c>
      <c r="AN160" s="26" t="s">
        <v>172</v>
      </c>
      <c r="AO160" s="26" t="s">
        <v>856</v>
      </c>
      <c r="AP160" s="26" t="s">
        <v>162</v>
      </c>
      <c r="AQ160" s="26" t="s">
        <v>3333</v>
      </c>
      <c r="AR160" s="26" t="s">
        <v>3334</v>
      </c>
      <c r="AS160" s="26" t="s">
        <v>1439</v>
      </c>
      <c r="AU160" s="26" t="s">
        <v>3335</v>
      </c>
      <c r="AV160" s="26" t="s">
        <v>150</v>
      </c>
      <c r="AX160" s="26" t="s">
        <v>3336</v>
      </c>
      <c r="AY160" s="26" t="s">
        <v>179</v>
      </c>
      <c r="BC160" s="26" t="s">
        <v>3324</v>
      </c>
      <c r="BD160" s="26" t="s">
        <v>180</v>
      </c>
      <c r="BE160" s="26" t="s">
        <v>181</v>
      </c>
      <c r="BF160" s="26" t="s">
        <v>167</v>
      </c>
      <c r="BH160" s="26" t="s">
        <v>162</v>
      </c>
      <c r="BI160" s="26" t="s">
        <v>807</v>
      </c>
      <c r="BJ160" s="26" t="s">
        <v>1541</v>
      </c>
      <c r="BK160" s="26" t="s">
        <v>184</v>
      </c>
      <c r="BL160" s="26" t="s">
        <v>185</v>
      </c>
      <c r="BM160" s="26" t="s">
        <v>186</v>
      </c>
      <c r="BN160" s="26" t="s">
        <v>162</v>
      </c>
      <c r="BP160" s="26">
        <v>0</v>
      </c>
      <c r="BQ160" s="26" t="s">
        <v>776</v>
      </c>
      <c r="BS160" s="26" t="s">
        <v>230</v>
      </c>
      <c r="BT160" s="26" t="s">
        <v>185</v>
      </c>
      <c r="BV160" s="26">
        <v>25.1056</v>
      </c>
      <c r="BW160" s="26">
        <v>0.16</v>
      </c>
      <c r="BZ160" s="26">
        <v>0</v>
      </c>
      <c r="CA160" s="26" t="s">
        <v>189</v>
      </c>
      <c r="CC160" s="26" t="s">
        <v>162</v>
      </c>
      <c r="CD160" s="26">
        <v>0</v>
      </c>
      <c r="CE160" s="26" t="s">
        <v>190</v>
      </c>
      <c r="CF160" s="26" t="s">
        <v>167</v>
      </c>
      <c r="CG160" s="26" t="s">
        <v>3337</v>
      </c>
      <c r="CI160" s="26" t="s">
        <v>267</v>
      </c>
      <c r="CJ160" s="26">
        <v>156.91</v>
      </c>
      <c r="CK160" s="26">
        <v>0</v>
      </c>
      <c r="CL160" s="26">
        <v>7.85</v>
      </c>
      <c r="CM160" s="26">
        <v>20.66</v>
      </c>
      <c r="CQ160" s="26" t="s">
        <v>605</v>
      </c>
      <c r="CR160" s="26" t="s">
        <v>3338</v>
      </c>
      <c r="CS160" s="26" t="s">
        <v>3339</v>
      </c>
      <c r="CW160" s="26" t="s">
        <v>3340</v>
      </c>
      <c r="CX160" s="26" t="s">
        <v>435</v>
      </c>
      <c r="CY160" s="26" t="s">
        <v>196</v>
      </c>
      <c r="CZ160" s="26">
        <v>0</v>
      </c>
      <c r="DB160" s="26">
        <v>0</v>
      </c>
      <c r="DK160" s="26" t="s">
        <v>150</v>
      </c>
      <c r="DL160" s="26" t="s">
        <v>390</v>
      </c>
      <c r="DM160" s="26" t="s">
        <v>3341</v>
      </c>
      <c r="DN160" s="26" t="s">
        <v>3342</v>
      </c>
      <c r="DO160" s="26" t="s">
        <v>3317</v>
      </c>
      <c r="DP160" s="26" t="s">
        <v>3343</v>
      </c>
      <c r="DR160" s="26" t="s">
        <v>189</v>
      </c>
      <c r="DS160" s="26" t="s">
        <v>189</v>
      </c>
      <c r="DT160" s="26" t="s">
        <v>189</v>
      </c>
      <c r="DU160" s="26" t="s">
        <v>189</v>
      </c>
      <c r="DV160" s="26" t="s">
        <v>203</v>
      </c>
      <c r="DW160" s="26" t="s">
        <v>162</v>
      </c>
      <c r="DX160" s="26" t="s">
        <v>162</v>
      </c>
      <c r="DY160" s="26">
        <v>0</v>
      </c>
      <c r="DZ160" s="26" t="s">
        <v>150</v>
      </c>
      <c r="EH160" s="26" t="s">
        <v>189</v>
      </c>
      <c r="EI160" s="26">
        <v>0.16</v>
      </c>
      <c r="EJ160" s="26">
        <v>25.1056</v>
      </c>
      <c r="EK160" s="26">
        <v>20.66</v>
      </c>
      <c r="EL160" s="26" t="s">
        <v>3344</v>
      </c>
      <c r="EM160" s="26" t="s">
        <v>206</v>
      </c>
      <c r="EN160" s="26" t="s">
        <v>207</v>
      </c>
    </row>
    <row r="161" spans="1:144">
      <c r="A161" s="26" t="s">
        <v>145</v>
      </c>
      <c r="B161" s="26" t="s">
        <v>763</v>
      </c>
      <c r="C161" s="26" t="s">
        <v>3345</v>
      </c>
      <c r="D161" s="26" t="s">
        <v>148</v>
      </c>
      <c r="E161" s="26" t="s">
        <v>149</v>
      </c>
      <c r="F161" s="26" t="s">
        <v>152</v>
      </c>
      <c r="G161" s="26" t="s">
        <v>151</v>
      </c>
      <c r="H161" s="26" t="s">
        <v>152</v>
      </c>
      <c r="I161" s="26" t="s">
        <v>153</v>
      </c>
      <c r="J161" s="26" t="s">
        <v>154</v>
      </c>
      <c r="K161" s="26" t="s">
        <v>2343</v>
      </c>
      <c r="L161" s="26" t="s">
        <v>3346</v>
      </c>
      <c r="M161" s="26" t="s">
        <v>3347</v>
      </c>
      <c r="N161" s="26" t="s">
        <v>3348</v>
      </c>
      <c r="O161" s="26" t="s">
        <v>3349</v>
      </c>
      <c r="P161" s="26" t="s">
        <v>3350</v>
      </c>
      <c r="Q161" s="26" t="s">
        <v>465</v>
      </c>
      <c r="R161" s="26">
        <v>147.070696</v>
      </c>
      <c r="S161" s="26" t="s">
        <v>1055</v>
      </c>
      <c r="T161" s="26">
        <v>140.908516</v>
      </c>
      <c r="U161" s="26" t="s">
        <v>217</v>
      </c>
      <c r="V161" s="26" t="s">
        <v>150</v>
      </c>
      <c r="Y161" s="26" t="s">
        <v>3351</v>
      </c>
      <c r="Z161" s="26">
        <v>22.0606044</v>
      </c>
      <c r="AA161" s="26">
        <v>0</v>
      </c>
      <c r="AB161" s="26">
        <v>0</v>
      </c>
      <c r="AC161" s="26">
        <v>23</v>
      </c>
      <c r="AD161" s="26" t="s">
        <v>1140</v>
      </c>
      <c r="AE161" s="26" t="s">
        <v>1140</v>
      </c>
      <c r="AF161" s="26" t="s">
        <v>1140</v>
      </c>
      <c r="AG161" s="26" t="s">
        <v>3352</v>
      </c>
      <c r="AI161" s="26" t="s">
        <v>167</v>
      </c>
      <c r="AJ161" s="26" t="s">
        <v>168</v>
      </c>
      <c r="AK161" s="26" t="s">
        <v>169</v>
      </c>
      <c r="AL161" s="26" t="s">
        <v>3353</v>
      </c>
      <c r="AM161" s="26" t="s">
        <v>3354</v>
      </c>
      <c r="AN161" s="26" t="s">
        <v>172</v>
      </c>
      <c r="AO161" s="26" t="s">
        <v>353</v>
      </c>
      <c r="AP161" s="26" t="s">
        <v>162</v>
      </c>
      <c r="AQ161" s="26" t="s">
        <v>3355</v>
      </c>
      <c r="AR161" s="26" t="s">
        <v>3356</v>
      </c>
      <c r="AS161" s="26" t="s">
        <v>3357</v>
      </c>
      <c r="AU161" s="26" t="s">
        <v>3358</v>
      </c>
      <c r="AV161" s="26" t="s">
        <v>3358</v>
      </c>
      <c r="AX161" s="26" t="s">
        <v>3359</v>
      </c>
      <c r="AY161" s="26" t="s">
        <v>179</v>
      </c>
      <c r="BC161" s="26" t="s">
        <v>3345</v>
      </c>
      <c r="BD161" s="26" t="s">
        <v>180</v>
      </c>
      <c r="BE161" s="26" t="s">
        <v>1007</v>
      </c>
      <c r="BF161" s="26" t="s">
        <v>167</v>
      </c>
      <c r="BH161" s="26" t="s">
        <v>162</v>
      </c>
      <c r="BI161" s="26" t="s">
        <v>182</v>
      </c>
      <c r="BJ161" s="26" t="s">
        <v>3360</v>
      </c>
      <c r="BK161" s="26" t="s">
        <v>184</v>
      </c>
      <c r="BL161" s="26" t="s">
        <v>185</v>
      </c>
      <c r="BM161" s="26" t="s">
        <v>186</v>
      </c>
      <c r="BN161" s="26" t="s">
        <v>162</v>
      </c>
      <c r="BP161" s="26">
        <v>0</v>
      </c>
      <c r="BQ161" s="26" t="s">
        <v>353</v>
      </c>
      <c r="BS161" s="26" t="s">
        <v>354</v>
      </c>
      <c r="BT161" s="26" t="s">
        <v>185</v>
      </c>
      <c r="BV161" s="26">
        <v>8.0888</v>
      </c>
      <c r="BW161" s="26">
        <v>0.055</v>
      </c>
      <c r="BZ161" s="26">
        <v>0</v>
      </c>
      <c r="CA161" s="26" t="s">
        <v>189</v>
      </c>
      <c r="CC161" s="26" t="s">
        <v>162</v>
      </c>
      <c r="CD161" s="26">
        <v>0</v>
      </c>
      <c r="CE161" s="26" t="s">
        <v>190</v>
      </c>
      <c r="CF161" s="26" t="s">
        <v>167</v>
      </c>
      <c r="CG161" s="26" t="s">
        <v>3361</v>
      </c>
      <c r="CI161" s="26" t="s">
        <v>2359</v>
      </c>
      <c r="CJ161" s="26">
        <v>147.07</v>
      </c>
      <c r="CK161" s="26">
        <v>0</v>
      </c>
      <c r="CL161" s="26">
        <v>7.35</v>
      </c>
      <c r="CM161" s="26">
        <v>44.33</v>
      </c>
      <c r="CQ161" s="26" t="s">
        <v>437</v>
      </c>
      <c r="CR161" s="26" t="s">
        <v>3362</v>
      </c>
      <c r="CS161" s="26" t="s">
        <v>3363</v>
      </c>
      <c r="CW161" s="26" t="s">
        <v>3364</v>
      </c>
      <c r="CX161" s="26" t="s">
        <v>167</v>
      </c>
      <c r="CY161" s="26" t="s">
        <v>196</v>
      </c>
      <c r="CZ161" s="26">
        <v>0</v>
      </c>
      <c r="DB161" s="26">
        <v>0</v>
      </c>
      <c r="DK161" s="26" t="s">
        <v>150</v>
      </c>
      <c r="DL161" s="26" t="s">
        <v>581</v>
      </c>
      <c r="DM161" s="26" t="s">
        <v>3365</v>
      </c>
      <c r="DN161" s="26" t="s">
        <v>3366</v>
      </c>
      <c r="DO161" s="26" t="s">
        <v>3367</v>
      </c>
      <c r="DP161" s="26" t="s">
        <v>3368</v>
      </c>
      <c r="DR161" s="26" t="s">
        <v>189</v>
      </c>
      <c r="DS161" s="26" t="s">
        <v>189</v>
      </c>
      <c r="DT161" s="26" t="s">
        <v>189</v>
      </c>
      <c r="DU161" s="26" t="s">
        <v>189</v>
      </c>
      <c r="DV161" s="26" t="s">
        <v>203</v>
      </c>
      <c r="DW161" s="26" t="s">
        <v>162</v>
      </c>
      <c r="DX161" s="26" t="s">
        <v>162</v>
      </c>
      <c r="DY161" s="26">
        <v>0</v>
      </c>
      <c r="DZ161" s="26" t="s">
        <v>150</v>
      </c>
      <c r="EH161" s="26" t="s">
        <v>189</v>
      </c>
      <c r="EI161" s="26">
        <v>0.055</v>
      </c>
      <c r="EJ161" s="26">
        <v>8.0888</v>
      </c>
      <c r="EK161" s="26">
        <v>44.3299</v>
      </c>
      <c r="EL161" s="26" t="s">
        <v>3369</v>
      </c>
      <c r="EM161" s="26" t="s">
        <v>206</v>
      </c>
      <c r="EN161" s="26" t="s">
        <v>207</v>
      </c>
    </row>
    <row r="162" spans="1:144">
      <c r="A162" s="26" t="s">
        <v>145</v>
      </c>
      <c r="B162" s="26" t="s">
        <v>1556</v>
      </c>
      <c r="C162" s="26" t="s">
        <v>3370</v>
      </c>
      <c r="D162" s="26" t="s">
        <v>148</v>
      </c>
      <c r="E162" s="26" t="s">
        <v>149</v>
      </c>
      <c r="F162" s="26" t="s">
        <v>152</v>
      </c>
      <c r="G162" s="26" t="s">
        <v>151</v>
      </c>
      <c r="H162" s="26" t="s">
        <v>152</v>
      </c>
      <c r="I162" s="26" t="s">
        <v>153</v>
      </c>
      <c r="J162" s="26" t="s">
        <v>154</v>
      </c>
      <c r="K162" s="26" t="s">
        <v>1075</v>
      </c>
      <c r="L162" s="26" t="s">
        <v>2186</v>
      </c>
      <c r="M162" s="26" t="s">
        <v>3371</v>
      </c>
      <c r="N162" s="26" t="s">
        <v>3372</v>
      </c>
      <c r="O162" s="26" t="s">
        <v>3373</v>
      </c>
      <c r="P162" s="26" t="s">
        <v>3374</v>
      </c>
      <c r="Q162" s="26" t="s">
        <v>3375</v>
      </c>
      <c r="R162" s="26">
        <v>67.36279</v>
      </c>
      <c r="S162" s="26" t="s">
        <v>3376</v>
      </c>
      <c r="T162" s="26">
        <v>61.31224</v>
      </c>
      <c r="U162" s="26" t="s">
        <v>217</v>
      </c>
      <c r="V162" s="26" t="s">
        <v>150</v>
      </c>
      <c r="Y162" s="26" t="s">
        <v>3377</v>
      </c>
      <c r="Z162" s="26">
        <v>10.1044185</v>
      </c>
      <c r="AA162" s="26">
        <v>0</v>
      </c>
      <c r="AB162" s="26">
        <v>0</v>
      </c>
      <c r="AC162" s="26">
        <v>7</v>
      </c>
      <c r="AD162" s="26" t="s">
        <v>3378</v>
      </c>
      <c r="AE162" s="26" t="s">
        <v>3378</v>
      </c>
      <c r="AF162" s="26" t="s">
        <v>3378</v>
      </c>
      <c r="AG162" s="26" t="s">
        <v>3379</v>
      </c>
      <c r="AI162" s="26" t="s">
        <v>167</v>
      </c>
      <c r="AJ162" s="26" t="s">
        <v>168</v>
      </c>
      <c r="AK162" s="26" t="s">
        <v>169</v>
      </c>
      <c r="AL162" s="26" t="s">
        <v>3380</v>
      </c>
      <c r="AM162" s="26" t="s">
        <v>1339</v>
      </c>
      <c r="AN162" s="26" t="s">
        <v>172</v>
      </c>
      <c r="AO162" s="26" t="s">
        <v>257</v>
      </c>
      <c r="AP162" s="26" t="s">
        <v>162</v>
      </c>
      <c r="AQ162" s="26" t="s">
        <v>3381</v>
      </c>
      <c r="AR162" s="26" t="s">
        <v>3382</v>
      </c>
      <c r="AS162" s="26" t="s">
        <v>1090</v>
      </c>
      <c r="AT162" s="26" t="s">
        <v>3383</v>
      </c>
      <c r="AU162" s="26" t="s">
        <v>3384</v>
      </c>
      <c r="AV162" s="26" t="s">
        <v>3384</v>
      </c>
      <c r="AX162" s="26" t="s">
        <v>3385</v>
      </c>
      <c r="AY162" s="26" t="s">
        <v>179</v>
      </c>
      <c r="BC162" s="26" t="s">
        <v>3370</v>
      </c>
      <c r="BD162" s="26" t="s">
        <v>180</v>
      </c>
      <c r="BE162" s="26" t="s">
        <v>1007</v>
      </c>
      <c r="BF162" s="26" t="s">
        <v>167</v>
      </c>
      <c r="BH162" s="26" t="s">
        <v>162</v>
      </c>
      <c r="BI162" s="26" t="s">
        <v>182</v>
      </c>
      <c r="BJ162" s="26" t="s">
        <v>3386</v>
      </c>
      <c r="BK162" s="26" t="s">
        <v>1902</v>
      </c>
      <c r="BL162" s="26" t="s">
        <v>185</v>
      </c>
      <c r="BM162" s="26" t="s">
        <v>186</v>
      </c>
      <c r="BN162" s="26" t="s">
        <v>162</v>
      </c>
      <c r="BP162" s="26">
        <v>0</v>
      </c>
      <c r="BQ162" s="26" t="s">
        <v>265</v>
      </c>
      <c r="BS162" s="26" t="s">
        <v>188</v>
      </c>
      <c r="BT162" s="26" t="s">
        <v>185</v>
      </c>
      <c r="BV162" s="26">
        <v>9.4304</v>
      </c>
      <c r="BW162" s="26">
        <v>0.14</v>
      </c>
      <c r="BZ162" s="26">
        <v>0</v>
      </c>
      <c r="CA162" s="26" t="s">
        <v>189</v>
      </c>
      <c r="CC162" s="26" t="s">
        <v>162</v>
      </c>
      <c r="CD162" s="26">
        <v>0</v>
      </c>
      <c r="CE162" s="26" t="s">
        <v>190</v>
      </c>
      <c r="CF162" s="26" t="s">
        <v>167</v>
      </c>
      <c r="CG162" s="26" t="s">
        <v>3387</v>
      </c>
      <c r="CI162" s="26" t="s">
        <v>1095</v>
      </c>
      <c r="CJ162" s="26">
        <v>67.36</v>
      </c>
      <c r="CK162" s="26">
        <v>0</v>
      </c>
      <c r="CL162" s="26">
        <v>3.37</v>
      </c>
      <c r="CM162" s="26">
        <v>13.22</v>
      </c>
      <c r="CQ162" s="26" t="s">
        <v>192</v>
      </c>
      <c r="CR162" s="26" t="s">
        <v>3388</v>
      </c>
      <c r="CS162" s="26" t="s">
        <v>3389</v>
      </c>
      <c r="CW162" s="26" t="s">
        <v>3390</v>
      </c>
      <c r="CX162" s="26" t="s">
        <v>162</v>
      </c>
      <c r="CY162" s="26" t="s">
        <v>196</v>
      </c>
      <c r="CZ162" s="26">
        <v>0</v>
      </c>
      <c r="DB162" s="26">
        <v>0</v>
      </c>
      <c r="DK162" s="26" t="s">
        <v>150</v>
      </c>
      <c r="DL162" s="26" t="s">
        <v>237</v>
      </c>
      <c r="DM162" s="26" t="s">
        <v>3391</v>
      </c>
      <c r="DN162" s="26" t="s">
        <v>3392</v>
      </c>
      <c r="DO162" s="26" t="s">
        <v>3393</v>
      </c>
      <c r="DP162" s="26" t="s">
        <v>3394</v>
      </c>
      <c r="DR162" s="26" t="s">
        <v>189</v>
      </c>
      <c r="DS162" s="26" t="s">
        <v>189</v>
      </c>
      <c r="DT162" s="26" t="s">
        <v>189</v>
      </c>
      <c r="DU162" s="26" t="s">
        <v>189</v>
      </c>
      <c r="DV162" s="26" t="s">
        <v>203</v>
      </c>
      <c r="DW162" s="26" t="s">
        <v>162</v>
      </c>
      <c r="DX162" s="26" t="s">
        <v>162</v>
      </c>
      <c r="DY162" s="26">
        <v>0</v>
      </c>
      <c r="DZ162" s="26" t="s">
        <v>150</v>
      </c>
      <c r="EH162" s="26" t="s">
        <v>189</v>
      </c>
      <c r="EI162" s="26">
        <v>0.14</v>
      </c>
      <c r="EJ162" s="26">
        <v>9.4304</v>
      </c>
      <c r="EK162" s="26">
        <v>13.22</v>
      </c>
      <c r="EL162" s="26" t="s">
        <v>3395</v>
      </c>
      <c r="EM162" s="26" t="s">
        <v>206</v>
      </c>
      <c r="EN162" s="26" t="s">
        <v>207</v>
      </c>
    </row>
    <row r="163" spans="1:144">
      <c r="A163" s="26" t="s">
        <v>145</v>
      </c>
      <c r="B163" s="26" t="s">
        <v>763</v>
      </c>
      <c r="C163" s="26" t="s">
        <v>3396</v>
      </c>
      <c r="D163" s="26" t="s">
        <v>148</v>
      </c>
      <c r="E163" s="26" t="s">
        <v>149</v>
      </c>
      <c r="F163" s="26" t="s">
        <v>152</v>
      </c>
      <c r="G163" s="26" t="s">
        <v>151</v>
      </c>
      <c r="H163" s="26" t="s">
        <v>152</v>
      </c>
      <c r="I163" s="26" t="s">
        <v>153</v>
      </c>
      <c r="J163" s="26" t="s">
        <v>154</v>
      </c>
      <c r="K163" s="26" t="s">
        <v>244</v>
      </c>
      <c r="L163" s="26" t="s">
        <v>1957</v>
      </c>
      <c r="M163" s="26" t="s">
        <v>3397</v>
      </c>
      <c r="N163" s="26" t="s">
        <v>3398</v>
      </c>
      <c r="O163" s="26" t="s">
        <v>3399</v>
      </c>
      <c r="P163" s="26" t="s">
        <v>3400</v>
      </c>
      <c r="Q163" s="26" t="s">
        <v>3017</v>
      </c>
      <c r="R163" s="26">
        <v>223.481728</v>
      </c>
      <c r="S163" s="26" t="s">
        <v>3401</v>
      </c>
      <c r="T163" s="26">
        <v>217.319548</v>
      </c>
      <c r="U163" s="26" t="s">
        <v>217</v>
      </c>
      <c r="V163" s="26" t="s">
        <v>150</v>
      </c>
      <c r="Y163" s="26" t="s">
        <v>3402</v>
      </c>
      <c r="Z163" s="26">
        <v>33.5222592</v>
      </c>
      <c r="AA163" s="26">
        <v>0</v>
      </c>
      <c r="AB163" s="26">
        <v>0</v>
      </c>
      <c r="AC163" s="26">
        <v>45</v>
      </c>
      <c r="AD163" s="26" t="s">
        <v>291</v>
      </c>
      <c r="AE163" s="26" t="s">
        <v>291</v>
      </c>
      <c r="AF163" s="26" t="s">
        <v>291</v>
      </c>
      <c r="AG163" s="26" t="s">
        <v>3403</v>
      </c>
      <c r="AH163" s="26" t="s">
        <v>3404</v>
      </c>
      <c r="AI163" s="26" t="s">
        <v>167</v>
      </c>
      <c r="AJ163" s="26" t="s">
        <v>797</v>
      </c>
      <c r="AK163" s="26" t="s">
        <v>798</v>
      </c>
      <c r="AL163" s="26" t="s">
        <v>956</v>
      </c>
      <c r="AM163" s="26" t="s">
        <v>1747</v>
      </c>
      <c r="AN163" s="26" t="s">
        <v>172</v>
      </c>
      <c r="AO163" s="26" t="s">
        <v>1967</v>
      </c>
      <c r="AP163" s="26" t="s">
        <v>162</v>
      </c>
      <c r="AQ163" s="26" t="s">
        <v>3405</v>
      </c>
      <c r="AR163" s="26" t="s">
        <v>3406</v>
      </c>
      <c r="AS163" s="26" t="s">
        <v>937</v>
      </c>
      <c r="AU163" s="26" t="s">
        <v>3407</v>
      </c>
      <c r="AV163" s="26" t="s">
        <v>150</v>
      </c>
      <c r="AX163" s="26" t="s">
        <v>1971</v>
      </c>
      <c r="AY163" s="26" t="s">
        <v>179</v>
      </c>
      <c r="BC163" s="26" t="s">
        <v>3396</v>
      </c>
      <c r="BD163" s="26" t="s">
        <v>180</v>
      </c>
      <c r="BE163" s="26" t="s">
        <v>181</v>
      </c>
      <c r="BF163" s="26" t="s">
        <v>167</v>
      </c>
      <c r="BH163" s="26" t="s">
        <v>162</v>
      </c>
      <c r="BI163" s="26" t="s">
        <v>807</v>
      </c>
      <c r="BJ163" s="26" t="s">
        <v>912</v>
      </c>
      <c r="BK163" s="26" t="s">
        <v>184</v>
      </c>
      <c r="BL163" s="26" t="s">
        <v>185</v>
      </c>
      <c r="BM163" s="26" t="s">
        <v>186</v>
      </c>
      <c r="BN163" s="26" t="s">
        <v>162</v>
      </c>
      <c r="BP163" s="26">
        <v>0</v>
      </c>
      <c r="BQ163" s="26" t="s">
        <v>776</v>
      </c>
      <c r="BS163" s="26" t="s">
        <v>354</v>
      </c>
      <c r="BT163" s="26" t="s">
        <v>185</v>
      </c>
      <c r="BV163" s="26">
        <v>35.7568</v>
      </c>
      <c r="BW163" s="26">
        <v>0.16</v>
      </c>
      <c r="BZ163" s="26">
        <v>0</v>
      </c>
      <c r="CA163" s="26" t="s">
        <v>189</v>
      </c>
      <c r="CC163" s="26" t="s">
        <v>162</v>
      </c>
      <c r="CD163" s="26">
        <v>0</v>
      </c>
      <c r="CE163" s="26" t="s">
        <v>190</v>
      </c>
      <c r="CF163" s="26" t="s">
        <v>167</v>
      </c>
      <c r="CG163" s="26" t="s">
        <v>3408</v>
      </c>
      <c r="CI163" s="26" t="s">
        <v>267</v>
      </c>
      <c r="CJ163" s="26">
        <v>223.48</v>
      </c>
      <c r="CK163" s="26">
        <v>0</v>
      </c>
      <c r="CL163" s="26">
        <v>11.17</v>
      </c>
      <c r="CM163" s="26">
        <v>35.26</v>
      </c>
      <c r="CQ163" s="26" t="s">
        <v>437</v>
      </c>
      <c r="CR163" s="26" t="s">
        <v>3409</v>
      </c>
      <c r="CS163" s="26" t="s">
        <v>3410</v>
      </c>
      <c r="CW163" s="26" t="s">
        <v>1976</v>
      </c>
      <c r="CX163" s="26" t="s">
        <v>1977</v>
      </c>
      <c r="CY163" s="26" t="s">
        <v>196</v>
      </c>
      <c r="CZ163" s="26">
        <v>0</v>
      </c>
      <c r="DB163" s="26">
        <v>0</v>
      </c>
      <c r="DK163" s="26" t="s">
        <v>150</v>
      </c>
      <c r="DL163" s="26" t="s">
        <v>542</v>
      </c>
      <c r="DM163" s="26" t="s">
        <v>3411</v>
      </c>
      <c r="DN163" s="26" t="s">
        <v>3412</v>
      </c>
      <c r="DO163" s="26" t="s">
        <v>3413</v>
      </c>
      <c r="DP163" s="26" t="s">
        <v>3414</v>
      </c>
      <c r="DR163" s="26" t="s">
        <v>189</v>
      </c>
      <c r="DS163" s="26" t="s">
        <v>189</v>
      </c>
      <c r="DT163" s="26" t="s">
        <v>189</v>
      </c>
      <c r="DU163" s="26" t="s">
        <v>189</v>
      </c>
      <c r="DV163" s="26" t="s">
        <v>203</v>
      </c>
      <c r="DW163" s="26" t="s">
        <v>162</v>
      </c>
      <c r="DX163" s="26" t="s">
        <v>162</v>
      </c>
      <c r="DY163" s="26">
        <v>0</v>
      </c>
      <c r="DZ163" s="26" t="s">
        <v>150</v>
      </c>
      <c r="EH163" s="26" t="s">
        <v>189</v>
      </c>
      <c r="EI163" s="26">
        <v>0.16</v>
      </c>
      <c r="EJ163" s="26">
        <v>35.7568</v>
      </c>
      <c r="EK163" s="26">
        <v>35.26</v>
      </c>
      <c r="EL163" s="26" t="s">
        <v>3415</v>
      </c>
      <c r="EM163" s="26" t="s">
        <v>206</v>
      </c>
      <c r="EN163" s="26" t="s">
        <v>207</v>
      </c>
    </row>
    <row r="164" spans="1:144">
      <c r="A164" s="26" t="s">
        <v>145</v>
      </c>
      <c r="B164" s="26" t="s">
        <v>763</v>
      </c>
      <c r="C164" s="26" t="s">
        <v>3416</v>
      </c>
      <c r="D164" s="26" t="s">
        <v>148</v>
      </c>
      <c r="E164" s="26" t="s">
        <v>149</v>
      </c>
      <c r="F164" s="26" t="s">
        <v>152</v>
      </c>
      <c r="G164" s="26" t="s">
        <v>151</v>
      </c>
      <c r="H164" s="26" t="s">
        <v>152</v>
      </c>
      <c r="I164" s="26" t="s">
        <v>153</v>
      </c>
      <c r="J164" s="26" t="s">
        <v>154</v>
      </c>
      <c r="K164" s="26" t="s">
        <v>474</v>
      </c>
      <c r="L164" s="26" t="s">
        <v>894</v>
      </c>
      <c r="M164" s="26" t="s">
        <v>3417</v>
      </c>
      <c r="N164" s="26" t="s">
        <v>3418</v>
      </c>
      <c r="O164" s="26" t="s">
        <v>3419</v>
      </c>
      <c r="P164" s="26" t="s">
        <v>3420</v>
      </c>
      <c r="Q164" s="26" t="s">
        <v>1055</v>
      </c>
      <c r="R164" s="26">
        <v>140.908516</v>
      </c>
      <c r="S164" s="26" t="s">
        <v>799</v>
      </c>
      <c r="T164" s="26">
        <v>134.746336</v>
      </c>
      <c r="U164" s="26" t="s">
        <v>217</v>
      </c>
      <c r="V164" s="26" t="s">
        <v>150</v>
      </c>
      <c r="Y164" s="26" t="s">
        <v>1056</v>
      </c>
      <c r="Z164" s="26">
        <v>21.1362774</v>
      </c>
      <c r="AA164" s="26">
        <v>0</v>
      </c>
      <c r="AB164" s="26">
        <v>0</v>
      </c>
      <c r="AC164" s="26">
        <v>22</v>
      </c>
      <c r="AD164" s="26" t="s">
        <v>594</v>
      </c>
      <c r="AE164" s="26" t="s">
        <v>594</v>
      </c>
      <c r="AF164" s="26" t="s">
        <v>594</v>
      </c>
      <c r="AG164" s="26" t="s">
        <v>3421</v>
      </c>
      <c r="AI164" s="26" t="s">
        <v>167</v>
      </c>
      <c r="AJ164" s="26" t="s">
        <v>168</v>
      </c>
      <c r="AK164" s="26" t="s">
        <v>169</v>
      </c>
      <c r="AL164" s="26" t="s">
        <v>3422</v>
      </c>
      <c r="AM164" s="26" t="s">
        <v>3423</v>
      </c>
      <c r="AN164" s="26" t="s">
        <v>172</v>
      </c>
      <c r="AO164" s="26" t="s">
        <v>3424</v>
      </c>
      <c r="AP164" s="26" t="s">
        <v>162</v>
      </c>
      <c r="AQ164" s="26" t="s">
        <v>3425</v>
      </c>
      <c r="AR164" s="26" t="s">
        <v>3426</v>
      </c>
      <c r="AS164" s="26" t="s">
        <v>887</v>
      </c>
      <c r="AU164" s="26" t="s">
        <v>3427</v>
      </c>
      <c r="AV164" s="26" t="s">
        <v>3427</v>
      </c>
      <c r="AX164" s="26" t="s">
        <v>3428</v>
      </c>
      <c r="AY164" s="26" t="s">
        <v>179</v>
      </c>
      <c r="BC164" s="26" t="s">
        <v>3416</v>
      </c>
      <c r="BD164" s="26" t="s">
        <v>180</v>
      </c>
      <c r="BE164" s="26" t="s">
        <v>181</v>
      </c>
      <c r="BF164" s="26" t="s">
        <v>167</v>
      </c>
      <c r="BH164" s="26" t="s">
        <v>162</v>
      </c>
      <c r="BI164" s="26" t="s">
        <v>182</v>
      </c>
      <c r="BJ164" s="26" t="s">
        <v>3429</v>
      </c>
      <c r="BK164" s="26" t="s">
        <v>184</v>
      </c>
      <c r="BL164" s="26" t="s">
        <v>185</v>
      </c>
      <c r="BM164" s="26" t="s">
        <v>186</v>
      </c>
      <c r="BN164" s="26" t="s">
        <v>162</v>
      </c>
      <c r="BP164" s="26">
        <v>0</v>
      </c>
      <c r="BR164" s="26" t="s">
        <v>695</v>
      </c>
      <c r="BS164" s="26" t="s">
        <v>230</v>
      </c>
      <c r="BT164" s="26" t="s">
        <v>185</v>
      </c>
      <c r="BV164" s="26">
        <v>22.5456</v>
      </c>
      <c r="BW164" s="26">
        <v>0.16</v>
      </c>
      <c r="BZ164" s="26">
        <v>0</v>
      </c>
      <c r="CA164" s="26" t="s">
        <v>189</v>
      </c>
      <c r="CC164" s="26" t="s">
        <v>162</v>
      </c>
      <c r="CD164" s="26">
        <v>0</v>
      </c>
      <c r="CE164" s="26" t="s">
        <v>190</v>
      </c>
      <c r="CF164" s="26" t="s">
        <v>167</v>
      </c>
      <c r="CG164" s="26" t="s">
        <v>3430</v>
      </c>
      <c r="CI164" s="26" t="s">
        <v>496</v>
      </c>
      <c r="CJ164" s="26">
        <v>140.91</v>
      </c>
      <c r="CK164" s="26">
        <v>0</v>
      </c>
      <c r="CL164" s="26">
        <v>7.05</v>
      </c>
      <c r="CM164" s="26">
        <v>27.83</v>
      </c>
      <c r="CQ164" s="26" t="s">
        <v>233</v>
      </c>
      <c r="CR164" s="26" t="s">
        <v>3431</v>
      </c>
      <c r="CS164" s="26" t="s">
        <v>3432</v>
      </c>
      <c r="CW164" s="26" t="s">
        <v>3433</v>
      </c>
      <c r="CX164" s="26" t="s">
        <v>162</v>
      </c>
      <c r="CY164" s="26" t="s">
        <v>196</v>
      </c>
      <c r="CZ164" s="26">
        <v>0</v>
      </c>
      <c r="DB164" s="26">
        <v>0</v>
      </c>
      <c r="DK164" s="26" t="s">
        <v>150</v>
      </c>
      <c r="DL164" s="26" t="s">
        <v>390</v>
      </c>
      <c r="DM164" s="26" t="s">
        <v>3434</v>
      </c>
      <c r="DN164" s="26" t="s">
        <v>3435</v>
      </c>
      <c r="DO164" s="26" t="s">
        <v>3436</v>
      </c>
      <c r="DP164" s="26" t="s">
        <v>3437</v>
      </c>
      <c r="DR164" s="26" t="s">
        <v>189</v>
      </c>
      <c r="DS164" s="26" t="s">
        <v>189</v>
      </c>
      <c r="DT164" s="26" t="s">
        <v>189</v>
      </c>
      <c r="DU164" s="26" t="s">
        <v>189</v>
      </c>
      <c r="DV164" s="26" t="s">
        <v>203</v>
      </c>
      <c r="DW164" s="26" t="s">
        <v>162</v>
      </c>
      <c r="DX164" s="26" t="s">
        <v>162</v>
      </c>
      <c r="DY164" s="26">
        <v>0</v>
      </c>
      <c r="DZ164" s="26" t="s">
        <v>150</v>
      </c>
      <c r="EH164" s="26" t="s">
        <v>189</v>
      </c>
      <c r="EI164" s="26">
        <v>0.16</v>
      </c>
      <c r="EJ164" s="26">
        <v>22.5456</v>
      </c>
      <c r="EK164" s="26">
        <v>27.83</v>
      </c>
      <c r="EL164" s="26" t="s">
        <v>3438</v>
      </c>
      <c r="EM164" s="26" t="s">
        <v>206</v>
      </c>
      <c r="EN164" s="26" t="s">
        <v>207</v>
      </c>
    </row>
    <row r="165" spans="1:144">
      <c r="A165" s="26" t="s">
        <v>145</v>
      </c>
      <c r="B165" s="26" t="s">
        <v>763</v>
      </c>
      <c r="C165" s="26" t="s">
        <v>3439</v>
      </c>
      <c r="D165" s="26" t="s">
        <v>148</v>
      </c>
      <c r="E165" s="26" t="s">
        <v>149</v>
      </c>
      <c r="F165" s="26" t="s">
        <v>152</v>
      </c>
      <c r="G165" s="26" t="s">
        <v>151</v>
      </c>
      <c r="H165" s="26" t="s">
        <v>152</v>
      </c>
      <c r="I165" s="26" t="s">
        <v>153</v>
      </c>
      <c r="J165" s="26" t="s">
        <v>154</v>
      </c>
      <c r="K165" s="26" t="s">
        <v>1075</v>
      </c>
      <c r="L165" s="26" t="s">
        <v>2426</v>
      </c>
      <c r="M165" s="26" t="s">
        <v>3440</v>
      </c>
      <c r="N165" s="26" t="s">
        <v>3441</v>
      </c>
      <c r="O165" s="26" t="s">
        <v>3442</v>
      </c>
      <c r="P165" s="26" t="s">
        <v>3443</v>
      </c>
      <c r="Q165" s="26" t="s">
        <v>713</v>
      </c>
      <c r="R165" s="26">
        <v>184.8654</v>
      </c>
      <c r="S165" s="26" t="s">
        <v>3310</v>
      </c>
      <c r="T165" s="26">
        <v>62.854236</v>
      </c>
      <c r="U165" s="26" t="s">
        <v>217</v>
      </c>
      <c r="V165" s="26" t="s">
        <v>150</v>
      </c>
      <c r="Y165" s="26" t="s">
        <v>3444</v>
      </c>
      <c r="Z165" s="26">
        <v>9.24327</v>
      </c>
      <c r="AA165" s="26">
        <v>0</v>
      </c>
      <c r="AB165" s="26">
        <v>0</v>
      </c>
      <c r="AC165" s="26">
        <v>7</v>
      </c>
      <c r="AD165" s="26" t="s">
        <v>3378</v>
      </c>
      <c r="AE165" s="26" t="s">
        <v>3378</v>
      </c>
      <c r="AF165" s="26" t="s">
        <v>3378</v>
      </c>
      <c r="AG165" s="26" t="s">
        <v>3445</v>
      </c>
      <c r="AI165" s="26" t="s">
        <v>167</v>
      </c>
      <c r="AJ165" s="26" t="s">
        <v>168</v>
      </c>
      <c r="AK165" s="26" t="s">
        <v>169</v>
      </c>
      <c r="AL165" s="26" t="s">
        <v>2222</v>
      </c>
      <c r="AM165" s="26" t="s">
        <v>1093</v>
      </c>
      <c r="AN165" s="26" t="s">
        <v>172</v>
      </c>
      <c r="AO165" s="26" t="s">
        <v>2721</v>
      </c>
      <c r="AP165" s="26" t="s">
        <v>162</v>
      </c>
      <c r="AQ165" s="26" t="s">
        <v>3446</v>
      </c>
      <c r="AR165" s="26" t="s">
        <v>3447</v>
      </c>
      <c r="AS165" s="26" t="s">
        <v>3448</v>
      </c>
      <c r="AU165" s="26" t="s">
        <v>3449</v>
      </c>
      <c r="AV165" s="26" t="s">
        <v>3449</v>
      </c>
      <c r="AX165" s="26" t="s">
        <v>3450</v>
      </c>
      <c r="AY165" s="26" t="s">
        <v>179</v>
      </c>
      <c r="BC165" s="26" t="s">
        <v>3439</v>
      </c>
      <c r="BD165" s="26" t="s">
        <v>180</v>
      </c>
      <c r="BE165" s="26" t="s">
        <v>1007</v>
      </c>
      <c r="BF165" s="26" t="s">
        <v>195</v>
      </c>
      <c r="BG165" s="26">
        <v>0.1</v>
      </c>
      <c r="BH165" s="26" t="s">
        <v>1902</v>
      </c>
      <c r="BI165" s="26" t="s">
        <v>182</v>
      </c>
      <c r="BJ165" s="26" t="s">
        <v>2518</v>
      </c>
      <c r="BK165" s="26" t="s">
        <v>302</v>
      </c>
      <c r="BL165" s="26" t="s">
        <v>185</v>
      </c>
      <c r="BM165" s="26" t="s">
        <v>186</v>
      </c>
      <c r="BN165" s="26" t="s">
        <v>162</v>
      </c>
      <c r="BP165" s="26">
        <v>0</v>
      </c>
      <c r="BQ165" s="26" t="s">
        <v>1294</v>
      </c>
      <c r="BR165" s="26" t="s">
        <v>2721</v>
      </c>
      <c r="BS165" s="26" t="s">
        <v>230</v>
      </c>
      <c r="BT165" s="26" t="s">
        <v>185</v>
      </c>
      <c r="BV165" s="26">
        <v>9.6628</v>
      </c>
      <c r="BW165" s="26">
        <v>0.14</v>
      </c>
      <c r="BZ165" s="26">
        <v>0</v>
      </c>
      <c r="CA165" s="26" t="s">
        <v>189</v>
      </c>
      <c r="CC165" s="26" t="s">
        <v>162</v>
      </c>
      <c r="CD165" s="26">
        <v>0</v>
      </c>
      <c r="CE165" s="26" t="s">
        <v>190</v>
      </c>
      <c r="CF165" s="26" t="s">
        <v>167</v>
      </c>
      <c r="CG165" s="26" t="s">
        <v>3451</v>
      </c>
      <c r="CI165" s="26" t="s">
        <v>1095</v>
      </c>
      <c r="CJ165" s="26">
        <v>69.02</v>
      </c>
      <c r="CK165" s="26">
        <v>0</v>
      </c>
      <c r="CL165" s="26">
        <v>3.45</v>
      </c>
      <c r="CM165" s="26">
        <v>24.13</v>
      </c>
      <c r="CQ165" s="26" t="s">
        <v>437</v>
      </c>
      <c r="CR165" s="26" t="s">
        <v>3452</v>
      </c>
      <c r="CS165" s="26" t="s">
        <v>3453</v>
      </c>
      <c r="CW165" s="26" t="s">
        <v>3454</v>
      </c>
      <c r="CX165" s="26" t="s">
        <v>162</v>
      </c>
      <c r="CY165" s="26" t="s">
        <v>196</v>
      </c>
      <c r="CZ165" s="26">
        <v>0</v>
      </c>
      <c r="DB165" s="26">
        <v>0</v>
      </c>
      <c r="DK165" s="26" t="s">
        <v>150</v>
      </c>
      <c r="DL165" s="26" t="s">
        <v>390</v>
      </c>
      <c r="DM165" s="26" t="s">
        <v>3455</v>
      </c>
      <c r="DN165" s="26" t="s">
        <v>3456</v>
      </c>
      <c r="DO165" s="26" t="s">
        <v>3457</v>
      </c>
      <c r="DR165" s="26" t="s">
        <v>189</v>
      </c>
      <c r="DS165" s="26" t="s">
        <v>189</v>
      </c>
      <c r="DT165" s="26" t="s">
        <v>189</v>
      </c>
      <c r="DU165" s="26" t="s">
        <v>189</v>
      </c>
      <c r="DV165" s="26" t="s">
        <v>203</v>
      </c>
      <c r="DW165" s="26" t="s">
        <v>162</v>
      </c>
      <c r="DX165" s="26" t="s">
        <v>162</v>
      </c>
      <c r="DY165" s="26">
        <v>0</v>
      </c>
      <c r="DZ165" s="26" t="s">
        <v>150</v>
      </c>
      <c r="EH165" s="26" t="s">
        <v>189</v>
      </c>
      <c r="EI165" s="26">
        <v>0.14</v>
      </c>
      <c r="EJ165" s="26">
        <v>9.6628</v>
      </c>
      <c r="EK165" s="26">
        <v>24.13</v>
      </c>
      <c r="EL165" s="26" t="s">
        <v>3458</v>
      </c>
      <c r="EM165" s="26" t="s">
        <v>206</v>
      </c>
      <c r="EN165" s="26" t="s">
        <v>207</v>
      </c>
    </row>
    <row r="166" spans="1:144">
      <c r="A166" s="26" t="s">
        <v>145</v>
      </c>
      <c r="B166" s="26" t="s">
        <v>763</v>
      </c>
      <c r="C166" s="26" t="s">
        <v>3439</v>
      </c>
      <c r="D166" s="26" t="s">
        <v>148</v>
      </c>
      <c r="E166" s="26" t="s">
        <v>149</v>
      </c>
      <c r="F166" s="26" t="s">
        <v>152</v>
      </c>
      <c r="G166" s="26" t="s">
        <v>151</v>
      </c>
      <c r="H166" s="26" t="s">
        <v>152</v>
      </c>
      <c r="I166" s="26" t="s">
        <v>153</v>
      </c>
      <c r="J166" s="26" t="s">
        <v>154</v>
      </c>
      <c r="K166" s="26" t="s">
        <v>1075</v>
      </c>
      <c r="L166" s="26" t="s">
        <v>3263</v>
      </c>
      <c r="M166" s="26" t="s">
        <v>3440</v>
      </c>
      <c r="O166" s="26" t="s">
        <v>3459</v>
      </c>
      <c r="P166" s="26" t="s">
        <v>3460</v>
      </c>
      <c r="S166" s="26" t="s">
        <v>3027</v>
      </c>
      <c r="T166" s="26">
        <v>51.3515</v>
      </c>
      <c r="U166" s="26" t="s">
        <v>217</v>
      </c>
      <c r="V166" s="26" t="s">
        <v>150</v>
      </c>
      <c r="Y166" s="26" t="s">
        <v>3444</v>
      </c>
      <c r="Z166" s="26">
        <v>9.24327</v>
      </c>
      <c r="AA166" s="26">
        <v>0</v>
      </c>
      <c r="AB166" s="26">
        <v>0</v>
      </c>
      <c r="AC166" s="26">
        <v>4.1</v>
      </c>
      <c r="AD166" s="26" t="s">
        <v>3461</v>
      </c>
      <c r="AE166" s="26" t="s">
        <v>3461</v>
      </c>
      <c r="AF166" s="26" t="s">
        <v>3461</v>
      </c>
      <c r="AG166" s="26" t="s">
        <v>3462</v>
      </c>
      <c r="AI166" s="26" t="s">
        <v>167</v>
      </c>
      <c r="AJ166" s="26" t="s">
        <v>168</v>
      </c>
      <c r="AK166" s="26" t="s">
        <v>169</v>
      </c>
      <c r="AM166" s="26" t="s">
        <v>3463</v>
      </c>
      <c r="AN166" s="26" t="s">
        <v>172</v>
      </c>
      <c r="AO166" s="26" t="s">
        <v>3085</v>
      </c>
      <c r="AP166" s="26" t="s">
        <v>162</v>
      </c>
      <c r="AQ166" s="26" t="s">
        <v>3446</v>
      </c>
      <c r="AR166" s="26" t="s">
        <v>3447</v>
      </c>
      <c r="AS166" s="26" t="s">
        <v>3118</v>
      </c>
      <c r="AU166" s="26" t="s">
        <v>3449</v>
      </c>
      <c r="AV166" s="26" t="s">
        <v>3449</v>
      </c>
      <c r="AX166" s="26" t="s">
        <v>3464</v>
      </c>
      <c r="AY166" s="26" t="s">
        <v>179</v>
      </c>
      <c r="BC166" s="26" t="s">
        <v>3439</v>
      </c>
      <c r="BD166" s="26" t="s">
        <v>180</v>
      </c>
      <c r="BE166" s="26" t="s">
        <v>1007</v>
      </c>
      <c r="BF166" s="26" t="s">
        <v>195</v>
      </c>
      <c r="BH166" s="26" t="s">
        <v>1902</v>
      </c>
      <c r="BI166" s="26" t="s">
        <v>182</v>
      </c>
      <c r="BJ166" s="26" t="s">
        <v>486</v>
      </c>
      <c r="BK166" s="26" t="s">
        <v>302</v>
      </c>
      <c r="BL166" s="26" t="s">
        <v>185</v>
      </c>
      <c r="BM166" s="26" t="s">
        <v>186</v>
      </c>
      <c r="BN166" s="26" t="s">
        <v>162</v>
      </c>
      <c r="BP166" s="26">
        <v>0</v>
      </c>
      <c r="BQ166" s="26" t="s">
        <v>494</v>
      </c>
      <c r="BS166" s="26" t="s">
        <v>230</v>
      </c>
      <c r="BT166" s="26" t="s">
        <v>185</v>
      </c>
      <c r="BV166" s="26">
        <v>8.0514</v>
      </c>
      <c r="BW166" s="26">
        <v>0.14</v>
      </c>
      <c r="BZ166" s="26">
        <v>0</v>
      </c>
      <c r="CA166" s="26" t="s">
        <v>189</v>
      </c>
      <c r="CC166" s="26" t="s">
        <v>162</v>
      </c>
      <c r="CD166" s="26">
        <v>0</v>
      </c>
      <c r="CE166" s="26" t="s">
        <v>190</v>
      </c>
      <c r="CF166" s="26" t="s">
        <v>195</v>
      </c>
      <c r="CG166" s="26" t="s">
        <v>3465</v>
      </c>
      <c r="CI166" s="26" t="s">
        <v>1095</v>
      </c>
      <c r="CJ166" s="26">
        <v>57.51</v>
      </c>
      <c r="CK166" s="26">
        <v>0</v>
      </c>
      <c r="CL166" s="26">
        <v>2.88</v>
      </c>
      <c r="CM166" s="26">
        <v>27.72</v>
      </c>
      <c r="CQ166" s="26" t="s">
        <v>605</v>
      </c>
      <c r="CR166" s="26" t="s">
        <v>3452</v>
      </c>
      <c r="CS166" s="26" t="s">
        <v>3453</v>
      </c>
      <c r="CW166" s="26" t="s">
        <v>3466</v>
      </c>
      <c r="CX166" s="26" t="s">
        <v>162</v>
      </c>
      <c r="CY166" s="26" t="s">
        <v>196</v>
      </c>
      <c r="CZ166" s="26">
        <v>0</v>
      </c>
      <c r="DB166" s="26">
        <v>0</v>
      </c>
      <c r="DK166" s="26" t="s">
        <v>150</v>
      </c>
      <c r="DL166" s="26" t="s">
        <v>390</v>
      </c>
      <c r="DM166" s="26" t="s">
        <v>3455</v>
      </c>
      <c r="DN166" s="26" t="s">
        <v>3456</v>
      </c>
      <c r="DO166" s="26" t="s">
        <v>3457</v>
      </c>
      <c r="DR166" s="26" t="s">
        <v>189</v>
      </c>
      <c r="DS166" s="26" t="s">
        <v>189</v>
      </c>
      <c r="DT166" s="26" t="s">
        <v>189</v>
      </c>
      <c r="DU166" s="26" t="s">
        <v>189</v>
      </c>
      <c r="DV166" s="26" t="s">
        <v>203</v>
      </c>
      <c r="DW166" s="26" t="s">
        <v>162</v>
      </c>
      <c r="DX166" s="26" t="s">
        <v>162</v>
      </c>
      <c r="DY166" s="26">
        <v>0</v>
      </c>
      <c r="DZ166" s="26" t="s">
        <v>150</v>
      </c>
      <c r="EH166" s="26" t="s">
        <v>189</v>
      </c>
      <c r="EI166" s="26">
        <v>0.14</v>
      </c>
      <c r="EJ166" s="26">
        <v>8.0514</v>
      </c>
      <c r="EK166" s="26">
        <v>27.72</v>
      </c>
      <c r="EL166" s="26" t="s">
        <v>3467</v>
      </c>
      <c r="EM166" s="26" t="s">
        <v>206</v>
      </c>
      <c r="EN166" s="26" t="s">
        <v>207</v>
      </c>
    </row>
    <row r="167" spans="1:144">
      <c r="A167" s="26" t="s">
        <v>145</v>
      </c>
      <c r="B167" s="26" t="s">
        <v>763</v>
      </c>
      <c r="C167" s="26" t="s">
        <v>3439</v>
      </c>
      <c r="D167" s="26" t="s">
        <v>148</v>
      </c>
      <c r="E167" s="26" t="s">
        <v>149</v>
      </c>
      <c r="F167" s="26" t="s">
        <v>152</v>
      </c>
      <c r="G167" s="26" t="s">
        <v>151</v>
      </c>
      <c r="H167" s="26" t="s">
        <v>152</v>
      </c>
      <c r="I167" s="26" t="s">
        <v>153</v>
      </c>
      <c r="J167" s="26" t="s">
        <v>154</v>
      </c>
      <c r="K167" s="26" t="s">
        <v>1075</v>
      </c>
      <c r="L167" s="26" t="s">
        <v>2426</v>
      </c>
      <c r="M167" s="26" t="s">
        <v>3440</v>
      </c>
      <c r="O167" s="26" t="s">
        <v>3468</v>
      </c>
      <c r="P167" s="26" t="s">
        <v>3469</v>
      </c>
      <c r="S167" s="26" t="s">
        <v>3470</v>
      </c>
      <c r="T167" s="26">
        <v>52.173124</v>
      </c>
      <c r="U167" s="26" t="s">
        <v>217</v>
      </c>
      <c r="V167" s="26" t="s">
        <v>150</v>
      </c>
      <c r="Y167" s="26" t="s">
        <v>3444</v>
      </c>
      <c r="Z167" s="26">
        <v>9.24327</v>
      </c>
      <c r="AA167" s="26">
        <v>0</v>
      </c>
      <c r="AB167" s="26">
        <v>0</v>
      </c>
      <c r="AC167" s="26">
        <v>4.5</v>
      </c>
      <c r="AD167" s="26" t="s">
        <v>2900</v>
      </c>
      <c r="AE167" s="26" t="s">
        <v>2900</v>
      </c>
      <c r="AF167" s="26" t="s">
        <v>2900</v>
      </c>
      <c r="AG167" s="26" t="s">
        <v>3471</v>
      </c>
      <c r="AI167" s="26" t="s">
        <v>167</v>
      </c>
      <c r="AJ167" s="26" t="s">
        <v>168</v>
      </c>
      <c r="AK167" s="26" t="s">
        <v>169</v>
      </c>
      <c r="AM167" s="26" t="s">
        <v>3272</v>
      </c>
      <c r="AN167" s="26" t="s">
        <v>172</v>
      </c>
      <c r="AO167" s="26" t="s">
        <v>257</v>
      </c>
      <c r="AP167" s="26" t="s">
        <v>162</v>
      </c>
      <c r="AQ167" s="26" t="s">
        <v>3446</v>
      </c>
      <c r="AR167" s="26" t="s">
        <v>3447</v>
      </c>
      <c r="AS167" s="26" t="s">
        <v>859</v>
      </c>
      <c r="AT167" s="26" t="s">
        <v>3101</v>
      </c>
      <c r="AU167" s="26" t="s">
        <v>3449</v>
      </c>
      <c r="AV167" s="26" t="s">
        <v>3449</v>
      </c>
      <c r="AX167" s="26" t="s">
        <v>3102</v>
      </c>
      <c r="AY167" s="26" t="s">
        <v>179</v>
      </c>
      <c r="BC167" s="26" t="s">
        <v>3439</v>
      </c>
      <c r="BD167" s="26" t="s">
        <v>180</v>
      </c>
      <c r="BE167" s="26" t="s">
        <v>181</v>
      </c>
      <c r="BF167" s="26" t="s">
        <v>195</v>
      </c>
      <c r="BH167" s="26" t="s">
        <v>1902</v>
      </c>
      <c r="BI167" s="26" t="s">
        <v>182</v>
      </c>
      <c r="BJ167" s="26" t="s">
        <v>3472</v>
      </c>
      <c r="BK167" s="26" t="s">
        <v>302</v>
      </c>
      <c r="BL167" s="26" t="s">
        <v>185</v>
      </c>
      <c r="BM167" s="26" t="s">
        <v>186</v>
      </c>
      <c r="BN167" s="26" t="s">
        <v>162</v>
      </c>
      <c r="BP167" s="26">
        <v>0</v>
      </c>
      <c r="BQ167" s="26" t="s">
        <v>265</v>
      </c>
      <c r="BS167" s="26" t="s">
        <v>188</v>
      </c>
      <c r="BT167" s="26" t="s">
        <v>185</v>
      </c>
      <c r="BV167" s="26">
        <v>8.1676</v>
      </c>
      <c r="BW167" s="26">
        <v>0.14</v>
      </c>
      <c r="BZ167" s="26">
        <v>0</v>
      </c>
      <c r="CA167" s="26" t="s">
        <v>189</v>
      </c>
      <c r="CC167" s="26" t="s">
        <v>162</v>
      </c>
      <c r="CD167" s="26">
        <v>0</v>
      </c>
      <c r="CE167" s="26" t="s">
        <v>190</v>
      </c>
      <c r="CF167" s="26" t="s">
        <v>305</v>
      </c>
      <c r="CG167" s="26" t="s">
        <v>3104</v>
      </c>
      <c r="CI167" s="26" t="s">
        <v>1095</v>
      </c>
      <c r="CJ167" s="26">
        <v>58.34</v>
      </c>
      <c r="CK167" s="26">
        <v>0</v>
      </c>
      <c r="CL167" s="26">
        <v>2.92</v>
      </c>
      <c r="CM167" s="26">
        <v>25.26</v>
      </c>
      <c r="CQ167" s="26" t="s">
        <v>437</v>
      </c>
      <c r="CR167" s="26" t="s">
        <v>3452</v>
      </c>
      <c r="CS167" s="26" t="s">
        <v>3453</v>
      </c>
      <c r="CW167" s="26" t="s">
        <v>3473</v>
      </c>
      <c r="CX167" s="26" t="s">
        <v>162</v>
      </c>
      <c r="CY167" s="26" t="s">
        <v>196</v>
      </c>
      <c r="CZ167" s="26">
        <v>0</v>
      </c>
      <c r="DB167" s="26">
        <v>0</v>
      </c>
      <c r="DK167" s="26" t="s">
        <v>150</v>
      </c>
      <c r="DL167" s="26" t="s">
        <v>390</v>
      </c>
      <c r="DM167" s="26" t="s">
        <v>3455</v>
      </c>
      <c r="DN167" s="26" t="s">
        <v>3456</v>
      </c>
      <c r="DO167" s="26" t="s">
        <v>3457</v>
      </c>
      <c r="DR167" s="26" t="s">
        <v>189</v>
      </c>
      <c r="DS167" s="26" t="s">
        <v>189</v>
      </c>
      <c r="DT167" s="26" t="s">
        <v>189</v>
      </c>
      <c r="DU167" s="26" t="s">
        <v>189</v>
      </c>
      <c r="DV167" s="26" t="s">
        <v>203</v>
      </c>
      <c r="DW167" s="26" t="s">
        <v>162</v>
      </c>
      <c r="DX167" s="26" t="s">
        <v>162</v>
      </c>
      <c r="DY167" s="26">
        <v>0</v>
      </c>
      <c r="DZ167" s="26" t="s">
        <v>150</v>
      </c>
      <c r="EH167" s="26" t="s">
        <v>189</v>
      </c>
      <c r="EI167" s="26">
        <v>0.14</v>
      </c>
      <c r="EJ167" s="26">
        <v>8.1676</v>
      </c>
      <c r="EK167" s="26">
        <v>25.26</v>
      </c>
      <c r="EL167" s="26" t="s">
        <v>3474</v>
      </c>
      <c r="EM167" s="26" t="s">
        <v>206</v>
      </c>
      <c r="EN167" s="26" t="s">
        <v>207</v>
      </c>
    </row>
    <row r="168" spans="1:144">
      <c r="A168" s="26" t="s">
        <v>145</v>
      </c>
      <c r="B168" s="26" t="s">
        <v>763</v>
      </c>
      <c r="C168" s="26" t="s">
        <v>3475</v>
      </c>
      <c r="D168" s="26" t="s">
        <v>148</v>
      </c>
      <c r="E168" s="26" t="s">
        <v>149</v>
      </c>
      <c r="F168" s="26" t="s">
        <v>152</v>
      </c>
      <c r="G168" s="26" t="s">
        <v>151</v>
      </c>
      <c r="H168" s="26" t="s">
        <v>152</v>
      </c>
      <c r="I168" s="26" t="s">
        <v>153</v>
      </c>
      <c r="J168" s="26" t="s">
        <v>154</v>
      </c>
      <c r="K168" s="26" t="s">
        <v>474</v>
      </c>
      <c r="L168" s="26" t="s">
        <v>894</v>
      </c>
      <c r="M168" s="26" t="s">
        <v>3476</v>
      </c>
      <c r="N168" s="26" t="s">
        <v>3477</v>
      </c>
      <c r="O168" s="26" t="s">
        <v>3478</v>
      </c>
      <c r="P168" s="26" t="s">
        <v>3479</v>
      </c>
      <c r="Q168" s="26" t="s">
        <v>1055</v>
      </c>
      <c r="R168" s="26">
        <v>140.908516</v>
      </c>
      <c r="S168" s="26" t="s">
        <v>799</v>
      </c>
      <c r="T168" s="26">
        <v>134.746336</v>
      </c>
      <c r="U168" s="26" t="s">
        <v>217</v>
      </c>
      <c r="V168" s="26" t="s">
        <v>150</v>
      </c>
      <c r="Y168" s="26" t="s">
        <v>1056</v>
      </c>
      <c r="Z168" s="26">
        <v>21.1362774</v>
      </c>
      <c r="AA168" s="26">
        <v>0</v>
      </c>
      <c r="AB168" s="26">
        <v>0</v>
      </c>
      <c r="AC168" s="26">
        <v>22</v>
      </c>
      <c r="AD168" s="26" t="s">
        <v>594</v>
      </c>
      <c r="AE168" s="26" t="s">
        <v>594</v>
      </c>
      <c r="AF168" s="26" t="s">
        <v>594</v>
      </c>
      <c r="AG168" s="26" t="s">
        <v>3480</v>
      </c>
      <c r="AH168" s="26" t="s">
        <v>3481</v>
      </c>
      <c r="AI168" s="26" t="s">
        <v>167</v>
      </c>
      <c r="AJ168" s="26" t="s">
        <v>168</v>
      </c>
      <c r="AK168" s="26" t="s">
        <v>169</v>
      </c>
      <c r="AL168" s="26" t="s">
        <v>3482</v>
      </c>
      <c r="AM168" s="26" t="s">
        <v>3423</v>
      </c>
      <c r="AN168" s="26" t="s">
        <v>172</v>
      </c>
      <c r="AO168" s="26" t="s">
        <v>3424</v>
      </c>
      <c r="AP168" s="26" t="s">
        <v>162</v>
      </c>
      <c r="AQ168" s="26" t="s">
        <v>3483</v>
      </c>
      <c r="AR168" s="26" t="s">
        <v>3484</v>
      </c>
      <c r="AS168" s="26" t="s">
        <v>887</v>
      </c>
      <c r="AU168" s="26" t="s">
        <v>3485</v>
      </c>
      <c r="AV168" s="26" t="s">
        <v>3485</v>
      </c>
      <c r="AX168" s="26" t="s">
        <v>3428</v>
      </c>
      <c r="AY168" s="26" t="s">
        <v>179</v>
      </c>
      <c r="BC168" s="26" t="s">
        <v>3475</v>
      </c>
      <c r="BD168" s="26" t="s">
        <v>180</v>
      </c>
      <c r="BE168" s="26" t="s">
        <v>181</v>
      </c>
      <c r="BF168" s="26" t="s">
        <v>167</v>
      </c>
      <c r="BH168" s="26" t="s">
        <v>162</v>
      </c>
      <c r="BI168" s="26" t="s">
        <v>182</v>
      </c>
      <c r="BJ168" s="26" t="s">
        <v>3019</v>
      </c>
      <c r="BK168" s="26" t="s">
        <v>184</v>
      </c>
      <c r="BL168" s="26" t="s">
        <v>185</v>
      </c>
      <c r="BM168" s="26" t="s">
        <v>186</v>
      </c>
      <c r="BN168" s="26" t="s">
        <v>162</v>
      </c>
      <c r="BP168" s="26">
        <v>0</v>
      </c>
      <c r="BR168" s="26" t="s">
        <v>695</v>
      </c>
      <c r="BS168" s="26" t="s">
        <v>230</v>
      </c>
      <c r="BT168" s="26" t="s">
        <v>185</v>
      </c>
      <c r="BV168" s="26">
        <v>22.5456</v>
      </c>
      <c r="BW168" s="26">
        <v>0.16</v>
      </c>
      <c r="BZ168" s="26">
        <v>0</v>
      </c>
      <c r="CA168" s="26" t="s">
        <v>189</v>
      </c>
      <c r="CC168" s="26" t="s">
        <v>162</v>
      </c>
      <c r="CD168" s="26">
        <v>0</v>
      </c>
      <c r="CE168" s="26" t="s">
        <v>190</v>
      </c>
      <c r="CF168" s="26" t="s">
        <v>167</v>
      </c>
      <c r="CG168" s="26" t="s">
        <v>3486</v>
      </c>
      <c r="CI168" s="26" t="s">
        <v>496</v>
      </c>
      <c r="CJ168" s="26">
        <v>140.91</v>
      </c>
      <c r="CK168" s="26">
        <v>0</v>
      </c>
      <c r="CL168" s="26">
        <v>7.05</v>
      </c>
      <c r="CM168" s="26">
        <v>26.52</v>
      </c>
      <c r="CQ168" s="26" t="s">
        <v>233</v>
      </c>
      <c r="CR168" s="26" t="s">
        <v>3487</v>
      </c>
      <c r="CS168" s="26" t="s">
        <v>3488</v>
      </c>
      <c r="CW168" s="26" t="s">
        <v>3433</v>
      </c>
      <c r="CX168" s="26" t="s">
        <v>162</v>
      </c>
      <c r="CY168" s="26" t="s">
        <v>196</v>
      </c>
      <c r="CZ168" s="26">
        <v>0</v>
      </c>
      <c r="DA168" s="26" t="s">
        <v>150</v>
      </c>
      <c r="DB168" s="26">
        <v>0</v>
      </c>
      <c r="DK168" s="26" t="s">
        <v>150</v>
      </c>
      <c r="DL168" s="26" t="s">
        <v>1681</v>
      </c>
      <c r="DM168" s="26" t="s">
        <v>3489</v>
      </c>
      <c r="DN168" s="26" t="s">
        <v>3490</v>
      </c>
      <c r="DO168" s="26" t="s">
        <v>3457</v>
      </c>
      <c r="DP168" s="26" t="s">
        <v>3491</v>
      </c>
      <c r="DR168" s="26" t="s">
        <v>189</v>
      </c>
      <c r="DS168" s="26" t="s">
        <v>189</v>
      </c>
      <c r="DT168" s="26" t="s">
        <v>189</v>
      </c>
      <c r="DU168" s="26" t="s">
        <v>189</v>
      </c>
      <c r="DV168" s="26" t="s">
        <v>203</v>
      </c>
      <c r="DW168" s="26" t="s">
        <v>162</v>
      </c>
      <c r="DX168" s="26" t="s">
        <v>162</v>
      </c>
      <c r="DY168" s="26">
        <v>0</v>
      </c>
      <c r="DZ168" s="26" t="s">
        <v>150</v>
      </c>
      <c r="EH168" s="26" t="s">
        <v>189</v>
      </c>
      <c r="EI168" s="26">
        <v>0.16</v>
      </c>
      <c r="EJ168" s="26">
        <v>22.5456</v>
      </c>
      <c r="EK168" s="26">
        <v>26.52</v>
      </c>
      <c r="EL168" s="26" t="s">
        <v>3492</v>
      </c>
      <c r="EM168" s="26" t="s">
        <v>206</v>
      </c>
      <c r="EN168" s="26" t="s">
        <v>207</v>
      </c>
    </row>
    <row r="169" spans="1:144">
      <c r="A169" s="26" t="s">
        <v>145</v>
      </c>
      <c r="B169" s="26" t="s">
        <v>763</v>
      </c>
      <c r="C169" s="26" t="s">
        <v>3493</v>
      </c>
      <c r="D169" s="26" t="s">
        <v>148</v>
      </c>
      <c r="E169" s="26" t="s">
        <v>149</v>
      </c>
      <c r="F169" s="26" t="s">
        <v>152</v>
      </c>
      <c r="G169" s="26" t="s">
        <v>151</v>
      </c>
      <c r="H169" s="26" t="s">
        <v>152</v>
      </c>
      <c r="I169" s="26" t="s">
        <v>153</v>
      </c>
      <c r="J169" s="26" t="s">
        <v>154</v>
      </c>
      <c r="K169" s="26" t="s">
        <v>1075</v>
      </c>
      <c r="L169" s="26" t="s">
        <v>1076</v>
      </c>
      <c r="M169" s="26" t="s">
        <v>3494</v>
      </c>
      <c r="N169" s="26" t="s">
        <v>3495</v>
      </c>
      <c r="O169" s="26" t="s">
        <v>3496</v>
      </c>
      <c r="P169" s="26" t="s">
        <v>3497</v>
      </c>
      <c r="Q169" s="26" t="s">
        <v>3498</v>
      </c>
      <c r="R169" s="26">
        <v>85.859708</v>
      </c>
      <c r="S169" s="26" t="s">
        <v>3499</v>
      </c>
      <c r="T169" s="26">
        <v>79.697528</v>
      </c>
      <c r="U169" s="26" t="s">
        <v>217</v>
      </c>
      <c r="V169" s="26" t="s">
        <v>150</v>
      </c>
      <c r="Y169" s="26" t="s">
        <v>3500</v>
      </c>
      <c r="Z169" s="26">
        <v>12.8789562</v>
      </c>
      <c r="AA169" s="26">
        <v>0</v>
      </c>
      <c r="AB169" s="26">
        <v>0</v>
      </c>
      <c r="AC169" s="26">
        <v>18.81</v>
      </c>
      <c r="AD169" s="26" t="s">
        <v>3501</v>
      </c>
      <c r="AE169" s="26" t="s">
        <v>3502</v>
      </c>
      <c r="AF169" s="26" t="s">
        <v>3502</v>
      </c>
      <c r="AG169" s="26" t="s">
        <v>3503</v>
      </c>
      <c r="AI169" s="26" t="s">
        <v>167</v>
      </c>
      <c r="AJ169" s="26" t="s">
        <v>168</v>
      </c>
      <c r="AK169" s="26" t="s">
        <v>169</v>
      </c>
      <c r="AL169" s="26" t="s">
        <v>1360</v>
      </c>
      <c r="AM169" s="26" t="s">
        <v>3504</v>
      </c>
      <c r="AN169" s="26" t="s">
        <v>172</v>
      </c>
      <c r="AO169" s="26" t="s">
        <v>3505</v>
      </c>
      <c r="AP169" s="26" t="s">
        <v>162</v>
      </c>
      <c r="AQ169" s="26" t="s">
        <v>3506</v>
      </c>
      <c r="AR169" s="26" t="s">
        <v>3507</v>
      </c>
      <c r="AS169" s="26" t="s">
        <v>1216</v>
      </c>
      <c r="AU169" s="26" t="s">
        <v>3508</v>
      </c>
      <c r="AV169" s="26" t="s">
        <v>3508</v>
      </c>
      <c r="AX169" s="26" t="s">
        <v>3509</v>
      </c>
      <c r="AY169" s="26" t="s">
        <v>179</v>
      </c>
      <c r="BC169" s="26" t="s">
        <v>3493</v>
      </c>
      <c r="BD169" s="26" t="s">
        <v>180</v>
      </c>
      <c r="BE169" s="26" t="s">
        <v>181</v>
      </c>
      <c r="BF169" s="26" t="s">
        <v>167</v>
      </c>
      <c r="BH169" s="26" t="s">
        <v>162</v>
      </c>
      <c r="BI169" s="26" t="s">
        <v>182</v>
      </c>
      <c r="BJ169" s="26" t="s">
        <v>3510</v>
      </c>
      <c r="BK169" s="26" t="s">
        <v>184</v>
      </c>
      <c r="BL169" s="26" t="s">
        <v>185</v>
      </c>
      <c r="BM169" s="26" t="s">
        <v>186</v>
      </c>
      <c r="BN169" s="26" t="s">
        <v>162</v>
      </c>
      <c r="BP169" s="26">
        <v>0</v>
      </c>
      <c r="BQ169" s="26" t="s">
        <v>466</v>
      </c>
      <c r="BS169" s="26" t="s">
        <v>230</v>
      </c>
      <c r="BT169" s="26" t="s">
        <v>185</v>
      </c>
      <c r="BV169" s="26">
        <v>12.0204</v>
      </c>
      <c r="BW169" s="26">
        <v>0.14</v>
      </c>
      <c r="BZ169" s="26">
        <v>0</v>
      </c>
      <c r="CA169" s="26" t="s">
        <v>189</v>
      </c>
      <c r="CC169" s="26" t="s">
        <v>162</v>
      </c>
      <c r="CD169" s="26">
        <v>0</v>
      </c>
      <c r="CE169" s="26" t="s">
        <v>190</v>
      </c>
      <c r="CF169" s="26" t="s">
        <v>167</v>
      </c>
      <c r="CG169" s="26" t="s">
        <v>3511</v>
      </c>
      <c r="CI169" s="26" t="s">
        <v>1095</v>
      </c>
      <c r="CJ169" s="26">
        <v>85.86</v>
      </c>
      <c r="CK169" s="26">
        <v>0</v>
      </c>
      <c r="CL169" s="26">
        <v>4.29</v>
      </c>
      <c r="CM169" s="26">
        <v>11.81</v>
      </c>
      <c r="CQ169" s="26" t="s">
        <v>233</v>
      </c>
      <c r="CR169" s="26" t="s">
        <v>1904</v>
      </c>
      <c r="CS169" s="26" t="s">
        <v>3512</v>
      </c>
      <c r="CW169" s="26" t="s">
        <v>3513</v>
      </c>
      <c r="CX169" s="26" t="s">
        <v>167</v>
      </c>
      <c r="CY169" s="26" t="s">
        <v>196</v>
      </c>
      <c r="CZ169" s="26">
        <v>0</v>
      </c>
      <c r="DB169" s="26">
        <v>0</v>
      </c>
      <c r="DK169" s="26" t="s">
        <v>150</v>
      </c>
      <c r="DL169" s="26" t="s">
        <v>3514</v>
      </c>
      <c r="DM169" s="26" t="s">
        <v>3515</v>
      </c>
      <c r="DN169" s="26" t="s">
        <v>3516</v>
      </c>
      <c r="DO169" s="26" t="s">
        <v>3517</v>
      </c>
      <c r="DP169" s="26" t="s">
        <v>3518</v>
      </c>
      <c r="DR169" s="26" t="s">
        <v>189</v>
      </c>
      <c r="DS169" s="26" t="s">
        <v>189</v>
      </c>
      <c r="DT169" s="26" t="s">
        <v>189</v>
      </c>
      <c r="DU169" s="26" t="s">
        <v>189</v>
      </c>
      <c r="DV169" s="26" t="s">
        <v>203</v>
      </c>
      <c r="DW169" s="26" t="s">
        <v>162</v>
      </c>
      <c r="DX169" s="26" t="s">
        <v>162</v>
      </c>
      <c r="DY169" s="26">
        <v>0</v>
      </c>
      <c r="DZ169" s="26" t="s">
        <v>150</v>
      </c>
      <c r="EH169" s="26" t="s">
        <v>189</v>
      </c>
      <c r="EI169" s="26">
        <v>0.14</v>
      </c>
      <c r="EJ169" s="26">
        <v>12.0204</v>
      </c>
      <c r="EK169" s="26">
        <v>11.81</v>
      </c>
      <c r="EL169" s="26" t="s">
        <v>3519</v>
      </c>
      <c r="EM169" s="26" t="s">
        <v>206</v>
      </c>
      <c r="EN169" s="26" t="s">
        <v>207</v>
      </c>
    </row>
    <row r="170" spans="1:144">
      <c r="A170" s="26" t="s">
        <v>145</v>
      </c>
      <c r="B170" s="26" t="s">
        <v>763</v>
      </c>
      <c r="C170" s="26" t="s">
        <v>3520</v>
      </c>
      <c r="D170" s="26" t="s">
        <v>148</v>
      </c>
      <c r="E170" s="26" t="s">
        <v>149</v>
      </c>
      <c r="F170" s="26" t="s">
        <v>152</v>
      </c>
      <c r="G170" s="26" t="s">
        <v>151</v>
      </c>
      <c r="H170" s="26" t="s">
        <v>152</v>
      </c>
      <c r="I170" s="26" t="s">
        <v>153</v>
      </c>
      <c r="J170" s="26" t="s">
        <v>154</v>
      </c>
      <c r="K170" s="26" t="s">
        <v>209</v>
      </c>
      <c r="L170" s="26" t="s">
        <v>335</v>
      </c>
      <c r="M170" s="26" t="s">
        <v>3521</v>
      </c>
      <c r="N170" s="26" t="s">
        <v>3522</v>
      </c>
      <c r="O170" s="26" t="s">
        <v>3523</v>
      </c>
      <c r="P170" s="26" t="s">
        <v>3524</v>
      </c>
      <c r="Q170" s="26" t="s">
        <v>3525</v>
      </c>
      <c r="R170" s="26">
        <v>157.340996</v>
      </c>
      <c r="S170" s="26" t="s">
        <v>3526</v>
      </c>
      <c r="T170" s="26">
        <v>151.178816</v>
      </c>
      <c r="U170" s="26" t="s">
        <v>217</v>
      </c>
      <c r="V170" s="26" t="s">
        <v>150</v>
      </c>
      <c r="Y170" s="26" t="s">
        <v>3527</v>
      </c>
      <c r="Z170" s="26">
        <v>23.6011494</v>
      </c>
      <c r="AA170" s="26">
        <v>0</v>
      </c>
      <c r="AB170" s="26">
        <v>0</v>
      </c>
      <c r="AC170" s="26">
        <v>22</v>
      </c>
      <c r="AD170" s="26" t="s">
        <v>594</v>
      </c>
      <c r="AE170" s="26" t="s">
        <v>594</v>
      </c>
      <c r="AF170" s="26" t="s">
        <v>594</v>
      </c>
      <c r="AG170" s="26" t="s">
        <v>3528</v>
      </c>
      <c r="AI170" s="26" t="s">
        <v>167</v>
      </c>
      <c r="AJ170" s="26" t="s">
        <v>168</v>
      </c>
      <c r="AK170" s="26" t="s">
        <v>169</v>
      </c>
      <c r="AL170" s="26" t="s">
        <v>3529</v>
      </c>
      <c r="AM170" s="26" t="s">
        <v>3423</v>
      </c>
      <c r="AN170" s="26" t="s">
        <v>172</v>
      </c>
      <c r="AO170" s="26" t="s">
        <v>1239</v>
      </c>
      <c r="AP170" s="26" t="s">
        <v>162</v>
      </c>
      <c r="AQ170" s="26" t="s">
        <v>3530</v>
      </c>
      <c r="AR170" s="26" t="s">
        <v>3531</v>
      </c>
      <c r="AS170" s="26" t="s">
        <v>462</v>
      </c>
      <c r="AT170" s="26" t="s">
        <v>1787</v>
      </c>
      <c r="AU170" s="26" t="s">
        <v>3532</v>
      </c>
      <c r="AV170" s="26" t="s">
        <v>3532</v>
      </c>
      <c r="AX170" s="26" t="s">
        <v>3533</v>
      </c>
      <c r="AY170" s="26" t="s">
        <v>179</v>
      </c>
      <c r="BC170" s="26" t="s">
        <v>3520</v>
      </c>
      <c r="BD170" s="26" t="s">
        <v>180</v>
      </c>
      <c r="BE170" s="26" t="s">
        <v>181</v>
      </c>
      <c r="BF170" s="26" t="s">
        <v>167</v>
      </c>
      <c r="BH170" s="26" t="s">
        <v>162</v>
      </c>
      <c r="BI170" s="26" t="s">
        <v>182</v>
      </c>
      <c r="BJ170" s="26" t="s">
        <v>3534</v>
      </c>
      <c r="BK170" s="26" t="s">
        <v>184</v>
      </c>
      <c r="BL170" s="26" t="s">
        <v>185</v>
      </c>
      <c r="BM170" s="26" t="s">
        <v>186</v>
      </c>
      <c r="BN170" s="26" t="s">
        <v>162</v>
      </c>
      <c r="BP170" s="26">
        <v>0</v>
      </c>
      <c r="BQ170" s="26" t="s">
        <v>494</v>
      </c>
      <c r="BS170" s="26" t="s">
        <v>230</v>
      </c>
      <c r="BT170" s="26" t="s">
        <v>185</v>
      </c>
      <c r="BV170" s="26">
        <v>22.0276</v>
      </c>
      <c r="BW170" s="26">
        <v>0.14</v>
      </c>
      <c r="BZ170" s="26">
        <v>0</v>
      </c>
      <c r="CA170" s="26" t="s">
        <v>189</v>
      </c>
      <c r="CC170" s="26" t="s">
        <v>162</v>
      </c>
      <c r="CD170" s="26">
        <v>0</v>
      </c>
      <c r="CE170" s="26" t="s">
        <v>190</v>
      </c>
      <c r="CF170" s="26" t="s">
        <v>167</v>
      </c>
      <c r="CG170" s="26" t="s">
        <v>3535</v>
      </c>
      <c r="CI170" s="26" t="s">
        <v>232</v>
      </c>
      <c r="CJ170" s="26">
        <v>157.34</v>
      </c>
      <c r="CK170" s="26">
        <v>0</v>
      </c>
      <c r="CL170" s="26">
        <v>7.87</v>
      </c>
      <c r="CM170" s="26">
        <v>35.58</v>
      </c>
      <c r="CQ170" s="26" t="s">
        <v>192</v>
      </c>
      <c r="CR170" s="26" t="s">
        <v>3536</v>
      </c>
      <c r="CS170" s="26" t="s">
        <v>3537</v>
      </c>
      <c r="CW170" s="26" t="s">
        <v>3538</v>
      </c>
      <c r="CX170" s="26" t="s">
        <v>167</v>
      </c>
      <c r="CY170" s="26" t="s">
        <v>196</v>
      </c>
      <c r="CZ170" s="26">
        <v>0</v>
      </c>
      <c r="DB170" s="26">
        <v>0</v>
      </c>
      <c r="DK170" s="26" t="s">
        <v>150</v>
      </c>
      <c r="DL170" s="26" t="s">
        <v>838</v>
      </c>
      <c r="DM170" s="26" t="s">
        <v>3539</v>
      </c>
      <c r="DN170" s="26" t="s">
        <v>3540</v>
      </c>
      <c r="DO170" s="26" t="s">
        <v>3517</v>
      </c>
      <c r="DP170" s="26" t="s">
        <v>3518</v>
      </c>
      <c r="DR170" s="26" t="s">
        <v>189</v>
      </c>
      <c r="DS170" s="26" t="s">
        <v>189</v>
      </c>
      <c r="DT170" s="26" t="s">
        <v>189</v>
      </c>
      <c r="DU170" s="26" t="s">
        <v>189</v>
      </c>
      <c r="DV170" s="26" t="s">
        <v>203</v>
      </c>
      <c r="DW170" s="26" t="s">
        <v>162</v>
      </c>
      <c r="DX170" s="26" t="s">
        <v>162</v>
      </c>
      <c r="DY170" s="26">
        <v>0</v>
      </c>
      <c r="DZ170" s="26" t="s">
        <v>150</v>
      </c>
      <c r="EA170" s="26" t="s">
        <v>470</v>
      </c>
      <c r="EB170" s="26" t="s">
        <v>471</v>
      </c>
      <c r="EC170" s="26" t="s">
        <v>1787</v>
      </c>
      <c r="ED170" s="26" t="s">
        <v>1792</v>
      </c>
      <c r="EH170" s="26" t="s">
        <v>189</v>
      </c>
      <c r="EI170" s="26">
        <v>0.14</v>
      </c>
      <c r="EJ170" s="26">
        <v>22.0276</v>
      </c>
      <c r="EK170" s="26">
        <v>35.58</v>
      </c>
      <c r="EL170" s="26" t="s">
        <v>3541</v>
      </c>
      <c r="EM170" s="26" t="s">
        <v>206</v>
      </c>
      <c r="EN170" s="26" t="s">
        <v>207</v>
      </c>
    </row>
    <row r="171" spans="1:144">
      <c r="A171" s="26" t="s">
        <v>145</v>
      </c>
      <c r="B171" s="26" t="s">
        <v>763</v>
      </c>
      <c r="C171" s="26" t="s">
        <v>3542</v>
      </c>
      <c r="D171" s="26" t="s">
        <v>148</v>
      </c>
      <c r="E171" s="26" t="s">
        <v>149</v>
      </c>
      <c r="F171" s="26" t="s">
        <v>152</v>
      </c>
      <c r="G171" s="26" t="s">
        <v>151</v>
      </c>
      <c r="H171" s="26" t="s">
        <v>152</v>
      </c>
      <c r="I171" s="26" t="s">
        <v>153</v>
      </c>
      <c r="J171" s="26" t="s">
        <v>154</v>
      </c>
      <c r="K171" s="26" t="s">
        <v>209</v>
      </c>
      <c r="L171" s="26" t="s">
        <v>210</v>
      </c>
      <c r="M171" s="26" t="s">
        <v>3543</v>
      </c>
      <c r="N171" s="26" t="s">
        <v>3544</v>
      </c>
      <c r="O171" s="26" t="s">
        <v>3545</v>
      </c>
      <c r="P171" s="26" t="s">
        <v>3546</v>
      </c>
      <c r="Q171" s="26" t="s">
        <v>3547</v>
      </c>
      <c r="R171" s="26">
        <v>211.56818</v>
      </c>
      <c r="S171" s="26" t="s">
        <v>444</v>
      </c>
      <c r="T171" s="26">
        <v>205.406</v>
      </c>
      <c r="U171" s="26" t="s">
        <v>217</v>
      </c>
      <c r="V171" s="26" t="s">
        <v>150</v>
      </c>
      <c r="Y171" s="26" t="s">
        <v>3548</v>
      </c>
      <c r="Z171" s="26">
        <v>31.735227</v>
      </c>
      <c r="AA171" s="26">
        <v>0</v>
      </c>
      <c r="AB171" s="26">
        <v>0</v>
      </c>
      <c r="AC171" s="26">
        <v>42</v>
      </c>
      <c r="AD171" s="26" t="s">
        <v>902</v>
      </c>
      <c r="AE171" s="26" t="s">
        <v>902</v>
      </c>
      <c r="AF171" s="26" t="s">
        <v>902</v>
      </c>
      <c r="AG171" s="26" t="s">
        <v>3549</v>
      </c>
      <c r="AI171" s="26" t="s">
        <v>167</v>
      </c>
      <c r="AJ171" s="26" t="s">
        <v>168</v>
      </c>
      <c r="AK171" s="26" t="s">
        <v>169</v>
      </c>
      <c r="AL171" s="26" t="s">
        <v>1311</v>
      </c>
      <c r="AM171" s="26" t="s">
        <v>3550</v>
      </c>
      <c r="AN171" s="26" t="s">
        <v>172</v>
      </c>
      <c r="AO171" s="26" t="s">
        <v>666</v>
      </c>
      <c r="AP171" s="26" t="s">
        <v>162</v>
      </c>
      <c r="AQ171" s="26" t="s">
        <v>3551</v>
      </c>
      <c r="AR171" s="26" t="s">
        <v>3552</v>
      </c>
      <c r="AS171" s="26" t="s">
        <v>887</v>
      </c>
      <c r="AU171" s="26" t="s">
        <v>3553</v>
      </c>
      <c r="AV171" s="26" t="s">
        <v>3553</v>
      </c>
      <c r="AX171" s="26" t="s">
        <v>3554</v>
      </c>
      <c r="AY171" s="26" t="s">
        <v>179</v>
      </c>
      <c r="BC171" s="26" t="s">
        <v>3542</v>
      </c>
      <c r="BD171" s="26" t="s">
        <v>180</v>
      </c>
      <c r="BE171" s="26" t="s">
        <v>181</v>
      </c>
      <c r="BF171" s="26" t="s">
        <v>167</v>
      </c>
      <c r="BH171" s="26" t="s">
        <v>162</v>
      </c>
      <c r="BI171" s="26" t="s">
        <v>182</v>
      </c>
      <c r="BJ171" s="26" t="s">
        <v>3555</v>
      </c>
      <c r="BK171" s="26" t="s">
        <v>184</v>
      </c>
      <c r="BL171" s="26" t="s">
        <v>185</v>
      </c>
      <c r="BM171" s="26" t="s">
        <v>186</v>
      </c>
      <c r="BN171" s="26" t="s">
        <v>162</v>
      </c>
      <c r="BP171" s="26">
        <v>0</v>
      </c>
      <c r="BQ171" s="26" t="s">
        <v>666</v>
      </c>
      <c r="BS171" s="26" t="s">
        <v>230</v>
      </c>
      <c r="BT171" s="26" t="s">
        <v>185</v>
      </c>
      <c r="BV171" s="26">
        <v>29.6198</v>
      </c>
      <c r="BW171" s="26">
        <v>0.14</v>
      </c>
      <c r="BZ171" s="26">
        <v>0</v>
      </c>
      <c r="CA171" s="26" t="s">
        <v>189</v>
      </c>
      <c r="CC171" s="26" t="s">
        <v>162</v>
      </c>
      <c r="CD171" s="26">
        <v>0</v>
      </c>
      <c r="CE171" s="26" t="s">
        <v>190</v>
      </c>
      <c r="CF171" s="26" t="s">
        <v>167</v>
      </c>
      <c r="CG171" s="26" t="s">
        <v>3556</v>
      </c>
      <c r="CI171" s="26" t="s">
        <v>232</v>
      </c>
      <c r="CJ171" s="26">
        <v>211.57</v>
      </c>
      <c r="CK171" s="26">
        <v>0</v>
      </c>
      <c r="CL171" s="26">
        <v>10.58</v>
      </c>
      <c r="CM171" s="26">
        <v>45.31</v>
      </c>
      <c r="CQ171" s="26" t="s">
        <v>233</v>
      </c>
      <c r="CR171" s="26" t="s">
        <v>3557</v>
      </c>
      <c r="CS171" s="26" t="s">
        <v>3558</v>
      </c>
      <c r="CW171" s="26" t="s">
        <v>3559</v>
      </c>
      <c r="CX171" s="26" t="s">
        <v>162</v>
      </c>
      <c r="CY171" s="26" t="s">
        <v>196</v>
      </c>
      <c r="CZ171" s="26">
        <v>0</v>
      </c>
      <c r="DB171" s="26">
        <v>0</v>
      </c>
      <c r="DK171" s="26" t="s">
        <v>150</v>
      </c>
      <c r="DL171" s="26" t="s">
        <v>390</v>
      </c>
      <c r="DM171" s="26" t="s">
        <v>3560</v>
      </c>
      <c r="DN171" s="26" t="s">
        <v>3561</v>
      </c>
      <c r="DO171" s="26" t="s">
        <v>3562</v>
      </c>
      <c r="DP171" s="26" t="s">
        <v>3563</v>
      </c>
      <c r="DR171" s="26" t="s">
        <v>189</v>
      </c>
      <c r="DS171" s="26" t="s">
        <v>189</v>
      </c>
      <c r="DT171" s="26" t="s">
        <v>189</v>
      </c>
      <c r="DU171" s="26" t="s">
        <v>189</v>
      </c>
      <c r="DV171" s="26" t="s">
        <v>203</v>
      </c>
      <c r="DW171" s="26" t="s">
        <v>162</v>
      </c>
      <c r="DX171" s="26" t="s">
        <v>162</v>
      </c>
      <c r="DY171" s="26">
        <v>0</v>
      </c>
      <c r="DZ171" s="26" t="s">
        <v>150</v>
      </c>
      <c r="EH171" s="26" t="s">
        <v>189</v>
      </c>
      <c r="EI171" s="26">
        <v>0.14</v>
      </c>
      <c r="EJ171" s="26">
        <v>29.6198</v>
      </c>
      <c r="EK171" s="26">
        <v>45.31</v>
      </c>
      <c r="EL171" s="26" t="s">
        <v>3564</v>
      </c>
      <c r="EM171" s="26" t="s">
        <v>206</v>
      </c>
      <c r="EN171" s="26" t="s">
        <v>207</v>
      </c>
    </row>
    <row r="172" spans="1:144">
      <c r="A172" s="26" t="s">
        <v>145</v>
      </c>
      <c r="B172" s="26" t="s">
        <v>763</v>
      </c>
      <c r="C172" s="26" t="s">
        <v>3565</v>
      </c>
      <c r="D172" s="26" t="s">
        <v>148</v>
      </c>
      <c r="E172" s="26" t="s">
        <v>149</v>
      </c>
      <c r="F172" s="26" t="s">
        <v>152</v>
      </c>
      <c r="G172" s="26" t="s">
        <v>151</v>
      </c>
      <c r="H172" s="26" t="s">
        <v>152</v>
      </c>
      <c r="I172" s="26" t="s">
        <v>153</v>
      </c>
      <c r="J172" s="26" t="s">
        <v>154</v>
      </c>
      <c r="K172" s="26" t="s">
        <v>209</v>
      </c>
      <c r="L172" s="26" t="s">
        <v>620</v>
      </c>
      <c r="M172" s="26" t="s">
        <v>3566</v>
      </c>
      <c r="N172" s="26" t="s">
        <v>3567</v>
      </c>
      <c r="O172" s="26" t="s">
        <v>3568</v>
      </c>
      <c r="P172" s="26" t="s">
        <v>3569</v>
      </c>
      <c r="Q172" s="26" t="s">
        <v>3570</v>
      </c>
      <c r="R172" s="26">
        <v>490.098716</v>
      </c>
      <c r="S172" s="26" t="s">
        <v>3571</v>
      </c>
      <c r="T172" s="26">
        <v>483.936536</v>
      </c>
      <c r="U172" s="26" t="s">
        <v>217</v>
      </c>
      <c r="V172" s="26" t="s">
        <v>150</v>
      </c>
      <c r="Y172" s="26" t="s">
        <v>3572</v>
      </c>
      <c r="Z172" s="26">
        <v>73.5148074</v>
      </c>
      <c r="AA172" s="26">
        <v>0</v>
      </c>
      <c r="AB172" s="26">
        <v>0</v>
      </c>
      <c r="AC172" s="26">
        <v>105</v>
      </c>
      <c r="AD172" s="26" t="s">
        <v>3573</v>
      </c>
      <c r="AE172" s="26" t="s">
        <v>3573</v>
      </c>
      <c r="AF172" s="26" t="s">
        <v>3573</v>
      </c>
      <c r="AG172" s="26" t="s">
        <v>3574</v>
      </c>
      <c r="AH172" s="26" t="s">
        <v>3575</v>
      </c>
      <c r="AI172" s="26" t="s">
        <v>167</v>
      </c>
      <c r="AJ172" s="26" t="s">
        <v>168</v>
      </c>
      <c r="AK172" s="26" t="s">
        <v>169</v>
      </c>
      <c r="AL172" s="26" t="s">
        <v>3576</v>
      </c>
      <c r="AM172" s="26" t="s">
        <v>3577</v>
      </c>
      <c r="AN172" s="26" t="s">
        <v>172</v>
      </c>
      <c r="AO172" s="26" t="s">
        <v>934</v>
      </c>
      <c r="AP172" s="26" t="s">
        <v>162</v>
      </c>
      <c r="AQ172" s="26" t="s">
        <v>3578</v>
      </c>
      <c r="AR172" s="26" t="s">
        <v>3579</v>
      </c>
      <c r="AS172" s="26" t="s">
        <v>662</v>
      </c>
      <c r="AU172" s="26" t="s">
        <v>3580</v>
      </c>
      <c r="AV172" s="26" t="s">
        <v>3580</v>
      </c>
      <c r="AX172" s="26" t="s">
        <v>3581</v>
      </c>
      <c r="AY172" s="26" t="s">
        <v>179</v>
      </c>
      <c r="BC172" s="26" t="s">
        <v>3565</v>
      </c>
      <c r="BD172" s="26" t="s">
        <v>180</v>
      </c>
      <c r="BE172" s="26" t="s">
        <v>181</v>
      </c>
      <c r="BF172" s="26" t="s">
        <v>167</v>
      </c>
      <c r="BH172" s="26" t="s">
        <v>162</v>
      </c>
      <c r="BI172" s="26" t="s">
        <v>182</v>
      </c>
      <c r="BJ172" s="26" t="s">
        <v>855</v>
      </c>
      <c r="BK172" s="26" t="s">
        <v>184</v>
      </c>
      <c r="BL172" s="26" t="s">
        <v>185</v>
      </c>
      <c r="BM172" s="26" t="s">
        <v>186</v>
      </c>
      <c r="BN172" s="26" t="s">
        <v>162</v>
      </c>
      <c r="BP172" s="26">
        <v>0</v>
      </c>
      <c r="BQ172" s="26" t="s">
        <v>494</v>
      </c>
      <c r="BR172" s="26" t="s">
        <v>934</v>
      </c>
      <c r="BS172" s="26" t="s">
        <v>230</v>
      </c>
      <c r="BT172" s="26" t="s">
        <v>185</v>
      </c>
      <c r="BV172" s="26">
        <v>68.614</v>
      </c>
      <c r="BW172" s="26">
        <v>0.14</v>
      </c>
      <c r="BZ172" s="26">
        <v>0</v>
      </c>
      <c r="CA172" s="26" t="s">
        <v>189</v>
      </c>
      <c r="CC172" s="26" t="s">
        <v>162</v>
      </c>
      <c r="CD172" s="26">
        <v>0</v>
      </c>
      <c r="CE172" s="26" t="s">
        <v>190</v>
      </c>
      <c r="CF172" s="26" t="s">
        <v>167</v>
      </c>
      <c r="CG172" s="26" t="s">
        <v>3582</v>
      </c>
      <c r="CI172" s="26" t="s">
        <v>232</v>
      </c>
      <c r="CJ172" s="26">
        <v>490.1</v>
      </c>
      <c r="CK172" s="26">
        <v>0</v>
      </c>
      <c r="CL172" s="26">
        <v>24.51</v>
      </c>
      <c r="CM172" s="26">
        <v>84.48</v>
      </c>
      <c r="CQ172" s="26" t="s">
        <v>605</v>
      </c>
      <c r="CR172" s="26" t="s">
        <v>3583</v>
      </c>
      <c r="CS172" s="26" t="s">
        <v>3584</v>
      </c>
      <c r="CW172" s="26" t="s">
        <v>3585</v>
      </c>
      <c r="CX172" s="26" t="s">
        <v>167</v>
      </c>
      <c r="CY172" s="26" t="s">
        <v>196</v>
      </c>
      <c r="CZ172" s="26">
        <v>0</v>
      </c>
      <c r="DB172" s="26">
        <v>0</v>
      </c>
      <c r="DK172" s="26" t="s">
        <v>150</v>
      </c>
      <c r="DL172" s="26" t="s">
        <v>390</v>
      </c>
      <c r="DM172" s="26" t="s">
        <v>3586</v>
      </c>
      <c r="DN172" s="26" t="s">
        <v>3587</v>
      </c>
      <c r="DO172" s="26" t="s">
        <v>3588</v>
      </c>
      <c r="DP172" s="26" t="s">
        <v>3589</v>
      </c>
      <c r="DR172" s="26" t="s">
        <v>189</v>
      </c>
      <c r="DS172" s="26" t="s">
        <v>189</v>
      </c>
      <c r="DT172" s="26" t="s">
        <v>189</v>
      </c>
      <c r="DU172" s="26" t="s">
        <v>189</v>
      </c>
      <c r="DV172" s="26" t="s">
        <v>203</v>
      </c>
      <c r="DW172" s="26" t="s">
        <v>162</v>
      </c>
      <c r="DX172" s="26" t="s">
        <v>162</v>
      </c>
      <c r="DY172" s="26">
        <v>0</v>
      </c>
      <c r="DZ172" s="26" t="s">
        <v>150</v>
      </c>
      <c r="EH172" s="26" t="s">
        <v>189</v>
      </c>
      <c r="EI172" s="26">
        <v>0.14</v>
      </c>
      <c r="EJ172" s="26">
        <v>68.614</v>
      </c>
      <c r="EK172" s="26">
        <v>84.48</v>
      </c>
      <c r="EL172" s="26" t="s">
        <v>3590</v>
      </c>
      <c r="EM172" s="26" t="s">
        <v>206</v>
      </c>
      <c r="EN172" s="26" t="s">
        <v>207</v>
      </c>
    </row>
    <row r="173" spans="1:144">
      <c r="A173" s="26" t="s">
        <v>145</v>
      </c>
      <c r="B173" s="26" t="s">
        <v>763</v>
      </c>
      <c r="C173" s="26" t="s">
        <v>3591</v>
      </c>
      <c r="D173" s="26" t="s">
        <v>148</v>
      </c>
      <c r="E173" s="26" t="s">
        <v>149</v>
      </c>
      <c r="F173" s="26" t="s">
        <v>152</v>
      </c>
      <c r="G173" s="26" t="s">
        <v>151</v>
      </c>
      <c r="H173" s="26" t="s">
        <v>152</v>
      </c>
      <c r="I173" s="26" t="s">
        <v>153</v>
      </c>
      <c r="J173" s="26" t="s">
        <v>154</v>
      </c>
      <c r="K173" s="26" t="s">
        <v>244</v>
      </c>
      <c r="L173" s="26" t="s">
        <v>765</v>
      </c>
      <c r="M173" s="26" t="s">
        <v>3592</v>
      </c>
      <c r="N173" s="26" t="s">
        <v>3593</v>
      </c>
      <c r="O173" s="26" t="s">
        <v>3594</v>
      </c>
      <c r="P173" s="26" t="s">
        <v>3595</v>
      </c>
      <c r="Q173" s="26" t="s">
        <v>2490</v>
      </c>
      <c r="R173" s="26">
        <v>323.719856</v>
      </c>
      <c r="S173" s="26" t="s">
        <v>340</v>
      </c>
      <c r="T173" s="26">
        <v>155.697748</v>
      </c>
      <c r="U173" s="26" t="s">
        <v>217</v>
      </c>
      <c r="V173" s="26" t="s">
        <v>150</v>
      </c>
      <c r="Y173" s="26" t="s">
        <v>3596</v>
      </c>
      <c r="Z173" s="26">
        <v>24.2789892</v>
      </c>
      <c r="AA173" s="26">
        <v>0</v>
      </c>
      <c r="AB173" s="26">
        <v>0</v>
      </c>
      <c r="AC173" s="26">
        <v>23</v>
      </c>
      <c r="AD173" s="26" t="s">
        <v>1434</v>
      </c>
      <c r="AE173" s="26" t="s">
        <v>1434</v>
      </c>
      <c r="AF173" s="26" t="s">
        <v>1434</v>
      </c>
      <c r="AG173" s="26" t="s">
        <v>3597</v>
      </c>
      <c r="AI173" s="26" t="s">
        <v>167</v>
      </c>
      <c r="AJ173" s="26" t="s">
        <v>168</v>
      </c>
      <c r="AK173" s="26" t="s">
        <v>169</v>
      </c>
      <c r="AL173" s="26" t="s">
        <v>1031</v>
      </c>
      <c r="AM173" s="26" t="s">
        <v>1516</v>
      </c>
      <c r="AN173" s="26" t="s">
        <v>172</v>
      </c>
      <c r="AO173" s="26" t="s">
        <v>776</v>
      </c>
      <c r="AP173" s="26" t="s">
        <v>162</v>
      </c>
      <c r="AQ173" s="26" t="s">
        <v>3598</v>
      </c>
      <c r="AR173" s="26" t="s">
        <v>3599</v>
      </c>
      <c r="AS173" s="26" t="s">
        <v>600</v>
      </c>
      <c r="AU173" s="26" t="s">
        <v>3600</v>
      </c>
      <c r="AV173" s="26" t="s">
        <v>3600</v>
      </c>
      <c r="AX173" s="26" t="s">
        <v>3601</v>
      </c>
      <c r="AY173" s="26" t="s">
        <v>179</v>
      </c>
      <c r="BC173" s="26" t="s">
        <v>3591</v>
      </c>
      <c r="BD173" s="26" t="s">
        <v>180</v>
      </c>
      <c r="BE173" s="26" t="s">
        <v>181</v>
      </c>
      <c r="BF173" s="26" t="s">
        <v>167</v>
      </c>
      <c r="BH173" s="26" t="s">
        <v>162</v>
      </c>
      <c r="BI173" s="26" t="s">
        <v>182</v>
      </c>
      <c r="BJ173" s="26" t="s">
        <v>3139</v>
      </c>
      <c r="BK173" s="26" t="s">
        <v>264</v>
      </c>
      <c r="BL173" s="26" t="s">
        <v>185</v>
      </c>
      <c r="BM173" s="26" t="s">
        <v>186</v>
      </c>
      <c r="BN173" s="26" t="s">
        <v>162</v>
      </c>
      <c r="BP173" s="26">
        <v>0</v>
      </c>
      <c r="BQ173" s="26" t="s">
        <v>776</v>
      </c>
      <c r="BS173" s="26" t="s">
        <v>354</v>
      </c>
      <c r="BT173" s="26" t="s">
        <v>185</v>
      </c>
      <c r="BV173" s="26">
        <v>25.8976</v>
      </c>
      <c r="BW173" s="26">
        <v>0.16</v>
      </c>
      <c r="BZ173" s="26">
        <v>0</v>
      </c>
      <c r="CA173" s="26" t="s">
        <v>189</v>
      </c>
      <c r="CC173" s="26" t="s">
        <v>162</v>
      </c>
      <c r="CD173" s="26">
        <v>0</v>
      </c>
      <c r="CE173" s="26" t="s">
        <v>190</v>
      </c>
      <c r="CF173" s="26" t="s">
        <v>167</v>
      </c>
      <c r="CG173" s="26" t="s">
        <v>3602</v>
      </c>
      <c r="CI173" s="26" t="s">
        <v>267</v>
      </c>
      <c r="CJ173" s="26">
        <v>161.86</v>
      </c>
      <c r="CK173" s="26">
        <v>0</v>
      </c>
      <c r="CL173" s="26">
        <v>8.09</v>
      </c>
      <c r="CM173" s="26">
        <v>44.04</v>
      </c>
      <c r="CQ173" s="26" t="s">
        <v>605</v>
      </c>
      <c r="CR173" s="26" t="s">
        <v>3603</v>
      </c>
      <c r="CS173" s="26" t="s">
        <v>3604</v>
      </c>
      <c r="CW173" s="26" t="s">
        <v>3605</v>
      </c>
      <c r="CX173" s="26" t="s">
        <v>162</v>
      </c>
      <c r="CY173" s="26" t="s">
        <v>196</v>
      </c>
      <c r="CZ173" s="26">
        <v>0</v>
      </c>
      <c r="DB173" s="26">
        <v>0</v>
      </c>
      <c r="DK173" s="26" t="s">
        <v>150</v>
      </c>
      <c r="DL173" s="26" t="s">
        <v>581</v>
      </c>
      <c r="DM173" s="26" t="s">
        <v>3606</v>
      </c>
      <c r="DN173" s="26" t="s">
        <v>3607</v>
      </c>
      <c r="DO173" s="26" t="s">
        <v>3608</v>
      </c>
      <c r="DP173" s="26" t="s">
        <v>3609</v>
      </c>
      <c r="DR173" s="26" t="s">
        <v>189</v>
      </c>
      <c r="DS173" s="26" t="s">
        <v>189</v>
      </c>
      <c r="DT173" s="26" t="s">
        <v>189</v>
      </c>
      <c r="DU173" s="26" t="s">
        <v>189</v>
      </c>
      <c r="DV173" s="26" t="s">
        <v>203</v>
      </c>
      <c r="DW173" s="26" t="s">
        <v>162</v>
      </c>
      <c r="DX173" s="26" t="s">
        <v>162</v>
      </c>
      <c r="DY173" s="26">
        <v>0</v>
      </c>
      <c r="DZ173" s="26" t="s">
        <v>150</v>
      </c>
      <c r="EH173" s="26" t="s">
        <v>189</v>
      </c>
      <c r="EI173" s="26">
        <v>0.16</v>
      </c>
      <c r="EJ173" s="26">
        <v>25.8976</v>
      </c>
      <c r="EK173" s="26">
        <v>44.04</v>
      </c>
      <c r="EL173" s="26" t="s">
        <v>3610</v>
      </c>
      <c r="EM173" s="26" t="s">
        <v>206</v>
      </c>
      <c r="EN173" s="26" t="s">
        <v>207</v>
      </c>
    </row>
    <row r="174" spans="1:144">
      <c r="A174" s="26" t="s">
        <v>145</v>
      </c>
      <c r="B174" s="26" t="s">
        <v>763</v>
      </c>
      <c r="C174" s="26" t="s">
        <v>3591</v>
      </c>
      <c r="D174" s="26" t="s">
        <v>148</v>
      </c>
      <c r="E174" s="26" t="s">
        <v>149</v>
      </c>
      <c r="F174" s="26" t="s">
        <v>152</v>
      </c>
      <c r="G174" s="26" t="s">
        <v>151</v>
      </c>
      <c r="H174" s="26" t="s">
        <v>152</v>
      </c>
      <c r="I174" s="26" t="s">
        <v>153</v>
      </c>
      <c r="J174" s="26" t="s">
        <v>154</v>
      </c>
      <c r="K174" s="26" t="s">
        <v>244</v>
      </c>
      <c r="L174" s="26" t="s">
        <v>765</v>
      </c>
      <c r="M174" s="26" t="s">
        <v>3592</v>
      </c>
      <c r="O174" s="26" t="s">
        <v>3611</v>
      </c>
      <c r="P174" s="26" t="s">
        <v>3612</v>
      </c>
      <c r="S174" s="26" t="s">
        <v>340</v>
      </c>
      <c r="T174" s="26">
        <v>155.697748</v>
      </c>
      <c r="U174" s="26" t="s">
        <v>217</v>
      </c>
      <c r="V174" s="26" t="s">
        <v>150</v>
      </c>
      <c r="Y174" s="26" t="s">
        <v>3596</v>
      </c>
      <c r="Z174" s="26">
        <v>24.2789892</v>
      </c>
      <c r="AA174" s="26">
        <v>0</v>
      </c>
      <c r="AB174" s="26">
        <v>0</v>
      </c>
      <c r="AC174" s="26">
        <v>23</v>
      </c>
      <c r="AD174" s="26" t="s">
        <v>1434</v>
      </c>
      <c r="AE174" s="26" t="s">
        <v>1434</v>
      </c>
      <c r="AF174" s="26" t="s">
        <v>1434</v>
      </c>
      <c r="AG174" s="26" t="s">
        <v>3597</v>
      </c>
      <c r="AI174" s="26" t="s">
        <v>167</v>
      </c>
      <c r="AJ174" s="26" t="s">
        <v>168</v>
      </c>
      <c r="AK174" s="26" t="s">
        <v>169</v>
      </c>
      <c r="AM174" s="26" t="s">
        <v>1516</v>
      </c>
      <c r="AN174" s="26" t="s">
        <v>172</v>
      </c>
      <c r="AO174" s="26" t="s">
        <v>776</v>
      </c>
      <c r="AP174" s="26" t="s">
        <v>162</v>
      </c>
      <c r="AQ174" s="26" t="s">
        <v>3598</v>
      </c>
      <c r="AR174" s="26" t="s">
        <v>3599</v>
      </c>
      <c r="AS174" s="26" t="s">
        <v>600</v>
      </c>
      <c r="AU174" s="26" t="s">
        <v>3600</v>
      </c>
      <c r="AV174" s="26" t="s">
        <v>3600</v>
      </c>
      <c r="AX174" s="26" t="s">
        <v>3601</v>
      </c>
      <c r="AY174" s="26" t="s">
        <v>179</v>
      </c>
      <c r="BC174" s="26" t="s">
        <v>3591</v>
      </c>
      <c r="BD174" s="26" t="s">
        <v>180</v>
      </c>
      <c r="BE174" s="26" t="s">
        <v>181</v>
      </c>
      <c r="BF174" s="26" t="s">
        <v>167</v>
      </c>
      <c r="BH174" s="26" t="s">
        <v>162</v>
      </c>
      <c r="BI174" s="26" t="s">
        <v>182</v>
      </c>
      <c r="BJ174" s="26" t="s">
        <v>3139</v>
      </c>
      <c r="BK174" s="26" t="s">
        <v>264</v>
      </c>
      <c r="BL174" s="26" t="s">
        <v>185</v>
      </c>
      <c r="BM174" s="26" t="s">
        <v>186</v>
      </c>
      <c r="BN174" s="26" t="s">
        <v>162</v>
      </c>
      <c r="BP174" s="26">
        <v>0</v>
      </c>
      <c r="BQ174" s="26" t="s">
        <v>776</v>
      </c>
      <c r="BS174" s="26" t="s">
        <v>354</v>
      </c>
      <c r="BT174" s="26" t="s">
        <v>185</v>
      </c>
      <c r="BV174" s="26">
        <v>25.8976</v>
      </c>
      <c r="BW174" s="26">
        <v>0.16</v>
      </c>
      <c r="BZ174" s="26">
        <v>0</v>
      </c>
      <c r="CA174" s="26" t="s">
        <v>189</v>
      </c>
      <c r="CC174" s="26" t="s">
        <v>162</v>
      </c>
      <c r="CD174" s="26">
        <v>0</v>
      </c>
      <c r="CE174" s="26" t="s">
        <v>190</v>
      </c>
      <c r="CF174" s="26" t="s">
        <v>195</v>
      </c>
      <c r="CG174" s="26" t="s">
        <v>3613</v>
      </c>
      <c r="CI174" s="26" t="s">
        <v>267</v>
      </c>
      <c r="CJ174" s="26">
        <v>161.86</v>
      </c>
      <c r="CK174" s="26">
        <v>0</v>
      </c>
      <c r="CL174" s="26">
        <v>8.09</v>
      </c>
      <c r="CM174" s="26">
        <v>44.04</v>
      </c>
      <c r="CQ174" s="26" t="s">
        <v>605</v>
      </c>
      <c r="CR174" s="26" t="s">
        <v>3603</v>
      </c>
      <c r="CS174" s="26" t="s">
        <v>3604</v>
      </c>
      <c r="CW174" s="26" t="s">
        <v>3605</v>
      </c>
      <c r="CX174" s="26" t="s">
        <v>162</v>
      </c>
      <c r="CY174" s="26" t="s">
        <v>196</v>
      </c>
      <c r="CZ174" s="26">
        <v>0</v>
      </c>
      <c r="DB174" s="26">
        <v>0</v>
      </c>
      <c r="DK174" s="26" t="s">
        <v>150</v>
      </c>
      <c r="DL174" s="26" t="s">
        <v>581</v>
      </c>
      <c r="DM174" s="26" t="s">
        <v>3606</v>
      </c>
      <c r="DN174" s="26" t="s">
        <v>3607</v>
      </c>
      <c r="DO174" s="26" t="s">
        <v>3608</v>
      </c>
      <c r="DP174" s="26" t="s">
        <v>3609</v>
      </c>
      <c r="DR174" s="26" t="s">
        <v>189</v>
      </c>
      <c r="DS174" s="26" t="s">
        <v>189</v>
      </c>
      <c r="DT174" s="26" t="s">
        <v>189</v>
      </c>
      <c r="DU174" s="26" t="s">
        <v>189</v>
      </c>
      <c r="DV174" s="26" t="s">
        <v>203</v>
      </c>
      <c r="DW174" s="26" t="s">
        <v>162</v>
      </c>
      <c r="DX174" s="26" t="s">
        <v>162</v>
      </c>
      <c r="DY174" s="26">
        <v>0</v>
      </c>
      <c r="DZ174" s="26" t="s">
        <v>150</v>
      </c>
      <c r="EH174" s="26" t="s">
        <v>189</v>
      </c>
      <c r="EI174" s="26">
        <v>0.16</v>
      </c>
      <c r="EJ174" s="26">
        <v>25.8976</v>
      </c>
      <c r="EK174" s="26">
        <v>44.04</v>
      </c>
      <c r="EL174" s="26" t="s">
        <v>3614</v>
      </c>
      <c r="EM174" s="26" t="s">
        <v>206</v>
      </c>
      <c r="EN174" s="26" t="s">
        <v>207</v>
      </c>
    </row>
    <row r="175" spans="1:144">
      <c r="A175" s="26" t="s">
        <v>145</v>
      </c>
      <c r="B175" s="26" t="s">
        <v>763</v>
      </c>
      <c r="C175" s="26" t="s">
        <v>3615</v>
      </c>
      <c r="D175" s="26" t="s">
        <v>148</v>
      </c>
      <c r="E175" s="26" t="s">
        <v>149</v>
      </c>
      <c r="F175" s="26" t="s">
        <v>152</v>
      </c>
      <c r="G175" s="26" t="s">
        <v>151</v>
      </c>
      <c r="H175" s="26" t="s">
        <v>152</v>
      </c>
      <c r="I175" s="26" t="s">
        <v>153</v>
      </c>
      <c r="J175" s="26" t="s">
        <v>154</v>
      </c>
      <c r="K175" s="26" t="s">
        <v>244</v>
      </c>
      <c r="L175" s="26" t="s">
        <v>549</v>
      </c>
      <c r="M175" s="26" t="s">
        <v>3616</v>
      </c>
      <c r="N175" s="26" t="s">
        <v>3617</v>
      </c>
      <c r="O175" s="26" t="s">
        <v>3618</v>
      </c>
      <c r="P175" s="26" t="s">
        <v>3619</v>
      </c>
      <c r="Q175" s="26" t="s">
        <v>3620</v>
      </c>
      <c r="R175" s="26">
        <v>686.877664</v>
      </c>
      <c r="S175" s="26" t="s">
        <v>3621</v>
      </c>
      <c r="T175" s="26">
        <v>165.968048</v>
      </c>
      <c r="U175" s="26" t="s">
        <v>3622</v>
      </c>
      <c r="V175" s="26" t="s">
        <v>150</v>
      </c>
      <c r="Y175" s="26" t="s">
        <v>3623</v>
      </c>
      <c r="Z175" s="26">
        <v>34.3438832</v>
      </c>
      <c r="AA175" s="26">
        <v>0</v>
      </c>
      <c r="AB175" s="26">
        <v>0</v>
      </c>
      <c r="AC175" s="26">
        <v>33</v>
      </c>
      <c r="AD175" s="26" t="s">
        <v>3624</v>
      </c>
      <c r="AE175" s="26" t="s">
        <v>458</v>
      </c>
      <c r="AF175" s="26">
        <v>35</v>
      </c>
      <c r="AG175" s="26" t="s">
        <v>3625</v>
      </c>
      <c r="AI175" s="26" t="s">
        <v>167</v>
      </c>
      <c r="AJ175" s="26" t="s">
        <v>797</v>
      </c>
      <c r="AK175" s="26" t="s">
        <v>798</v>
      </c>
      <c r="AL175" s="26" t="s">
        <v>162</v>
      </c>
      <c r="AM175" s="26" t="s">
        <v>855</v>
      </c>
      <c r="AN175" s="26" t="s">
        <v>172</v>
      </c>
      <c r="AO175" s="26" t="s">
        <v>1164</v>
      </c>
      <c r="AP175" s="26" t="s">
        <v>162</v>
      </c>
      <c r="AQ175" s="26" t="s">
        <v>3626</v>
      </c>
      <c r="AS175" s="26" t="s">
        <v>859</v>
      </c>
      <c r="AT175" s="26" t="s">
        <v>1167</v>
      </c>
      <c r="AV175" s="26" t="s">
        <v>150</v>
      </c>
      <c r="AX175" s="26" t="s">
        <v>3627</v>
      </c>
      <c r="AY175" s="26" t="s">
        <v>3628</v>
      </c>
      <c r="BC175" s="26" t="s">
        <v>3615</v>
      </c>
      <c r="BD175" s="26" t="s">
        <v>180</v>
      </c>
      <c r="BE175" s="26" t="s">
        <v>181</v>
      </c>
      <c r="BF175" s="26" t="s">
        <v>167</v>
      </c>
      <c r="BH175" s="26" t="s">
        <v>162</v>
      </c>
      <c r="BI175" s="26" t="s">
        <v>807</v>
      </c>
      <c r="BK175" s="26" t="s">
        <v>302</v>
      </c>
      <c r="BL175" s="26" t="s">
        <v>185</v>
      </c>
      <c r="BM175" s="26" t="s">
        <v>186</v>
      </c>
      <c r="BN175" s="26" t="s">
        <v>162</v>
      </c>
      <c r="BP175" s="26">
        <v>3.75</v>
      </c>
      <c r="BQ175" s="26" t="s">
        <v>1164</v>
      </c>
      <c r="BS175" s="26" t="s">
        <v>188</v>
      </c>
      <c r="BT175" s="26" t="s">
        <v>185</v>
      </c>
      <c r="BV175" s="26">
        <v>27.4592</v>
      </c>
      <c r="BW175" s="26">
        <v>0.16</v>
      </c>
      <c r="BZ175" s="26" t="s">
        <v>3629</v>
      </c>
      <c r="CA175" s="26" t="s">
        <v>189</v>
      </c>
      <c r="CC175" s="26" t="s">
        <v>162</v>
      </c>
      <c r="CD175" s="26">
        <v>0</v>
      </c>
      <c r="CE175" s="26" t="s">
        <v>190</v>
      </c>
      <c r="CF175" s="26" t="s">
        <v>195</v>
      </c>
      <c r="CG175" s="26" t="s">
        <v>3630</v>
      </c>
      <c r="CI175" s="26" t="s">
        <v>267</v>
      </c>
      <c r="CJ175" s="26">
        <v>171.62</v>
      </c>
      <c r="CK175" s="26">
        <v>0</v>
      </c>
      <c r="CL175" s="26">
        <v>8.58</v>
      </c>
      <c r="CM175" s="26">
        <v>31.12</v>
      </c>
      <c r="CQ175" s="26" t="s">
        <v>437</v>
      </c>
      <c r="CR175" s="26" t="s">
        <v>782</v>
      </c>
      <c r="CS175" s="26" t="s">
        <v>3631</v>
      </c>
      <c r="CW175" s="26" t="s">
        <v>3632</v>
      </c>
      <c r="CX175" s="26" t="s">
        <v>162</v>
      </c>
      <c r="CY175" s="26" t="s">
        <v>196</v>
      </c>
      <c r="CZ175" s="26">
        <v>0</v>
      </c>
      <c r="DB175" s="26">
        <v>0</v>
      </c>
      <c r="DK175" s="26" t="s">
        <v>150</v>
      </c>
      <c r="DL175" s="26" t="s">
        <v>581</v>
      </c>
      <c r="DM175" s="26" t="s">
        <v>3633</v>
      </c>
      <c r="DO175" s="26" t="s">
        <v>3634</v>
      </c>
      <c r="DR175" s="26" t="s">
        <v>189</v>
      </c>
      <c r="DS175" s="26" t="s">
        <v>189</v>
      </c>
      <c r="DT175" s="26" t="s">
        <v>189</v>
      </c>
      <c r="DU175" s="26" t="s">
        <v>189</v>
      </c>
      <c r="DV175" s="26" t="s">
        <v>203</v>
      </c>
      <c r="DW175" s="26" t="s">
        <v>162</v>
      </c>
      <c r="DX175" s="26" t="s">
        <v>162</v>
      </c>
      <c r="DY175" s="26">
        <v>0</v>
      </c>
      <c r="DZ175" s="26" t="s">
        <v>150</v>
      </c>
      <c r="EH175" s="26" t="s">
        <v>189</v>
      </c>
      <c r="EI175" s="26">
        <v>0.16</v>
      </c>
      <c r="EJ175" s="26">
        <v>27.4592</v>
      </c>
      <c r="EK175" s="26">
        <v>31.12</v>
      </c>
      <c r="EL175" s="26" t="s">
        <v>3635</v>
      </c>
      <c r="EM175" s="26" t="s">
        <v>206</v>
      </c>
      <c r="EN175" s="26" t="s">
        <v>207</v>
      </c>
    </row>
    <row r="176" spans="1:144">
      <c r="A176" s="26" t="s">
        <v>145</v>
      </c>
      <c r="B176" s="26" t="s">
        <v>763</v>
      </c>
      <c r="C176" s="26" t="s">
        <v>3615</v>
      </c>
      <c r="D176" s="26" t="s">
        <v>148</v>
      </c>
      <c r="E176" s="26" t="s">
        <v>149</v>
      </c>
      <c r="F176" s="26" t="s">
        <v>152</v>
      </c>
      <c r="G176" s="26" t="s">
        <v>151</v>
      </c>
      <c r="H176" s="26" t="s">
        <v>152</v>
      </c>
      <c r="I176" s="26" t="s">
        <v>153</v>
      </c>
      <c r="J176" s="26" t="s">
        <v>154</v>
      </c>
      <c r="K176" s="26" t="s">
        <v>244</v>
      </c>
      <c r="L176" s="26" t="s">
        <v>707</v>
      </c>
      <c r="M176" s="26" t="s">
        <v>3616</v>
      </c>
      <c r="O176" s="26" t="s">
        <v>3636</v>
      </c>
      <c r="P176" s="26" t="s">
        <v>3637</v>
      </c>
      <c r="S176" s="26" t="s">
        <v>1739</v>
      </c>
      <c r="T176" s="26">
        <v>300.714384</v>
      </c>
      <c r="U176" s="26" t="s">
        <v>3622</v>
      </c>
      <c r="V176" s="26" t="s">
        <v>150</v>
      </c>
      <c r="Y176" s="26" t="s">
        <v>3623</v>
      </c>
      <c r="Z176" s="26">
        <v>34.3438832</v>
      </c>
      <c r="AA176" s="26">
        <v>0</v>
      </c>
      <c r="AB176" s="26">
        <v>0</v>
      </c>
      <c r="AC176" s="26">
        <v>53.2</v>
      </c>
      <c r="AD176" s="26" t="s">
        <v>3638</v>
      </c>
      <c r="AE176" s="26" t="s">
        <v>3638</v>
      </c>
      <c r="AF176" s="26">
        <v>56.2</v>
      </c>
      <c r="AG176" s="26" t="s">
        <v>3639</v>
      </c>
      <c r="AI176" s="26" t="s">
        <v>167</v>
      </c>
      <c r="AJ176" s="26" t="s">
        <v>797</v>
      </c>
      <c r="AK176" s="26" t="s">
        <v>798</v>
      </c>
      <c r="AM176" s="26" t="s">
        <v>3640</v>
      </c>
      <c r="AN176" s="26" t="s">
        <v>172</v>
      </c>
      <c r="AO176" s="26" t="s">
        <v>3641</v>
      </c>
      <c r="AP176" s="26" t="s">
        <v>162</v>
      </c>
      <c r="AQ176" s="26" t="s">
        <v>3626</v>
      </c>
      <c r="AS176" s="26" t="s">
        <v>1898</v>
      </c>
      <c r="AV176" s="26" t="s">
        <v>150</v>
      </c>
      <c r="AX176" s="26" t="s">
        <v>3642</v>
      </c>
      <c r="AY176" s="26" t="s">
        <v>3628</v>
      </c>
      <c r="BC176" s="26" t="s">
        <v>3615</v>
      </c>
      <c r="BD176" s="26" t="s">
        <v>180</v>
      </c>
      <c r="BE176" s="26" t="s">
        <v>181</v>
      </c>
      <c r="BF176" s="26" t="s">
        <v>167</v>
      </c>
      <c r="BH176" s="26" t="s">
        <v>162</v>
      </c>
      <c r="BI176" s="26" t="s">
        <v>807</v>
      </c>
      <c r="BK176" s="26" t="s">
        <v>302</v>
      </c>
      <c r="BL176" s="26" t="s">
        <v>185</v>
      </c>
      <c r="BM176" s="26" t="s">
        <v>186</v>
      </c>
      <c r="BN176" s="26" t="s">
        <v>162</v>
      </c>
      <c r="BP176" s="26">
        <v>6.72</v>
      </c>
      <c r="BQ176" s="26" t="s">
        <v>776</v>
      </c>
      <c r="BS176" s="26" t="s">
        <v>354</v>
      </c>
      <c r="BT176" s="26" t="s">
        <v>185</v>
      </c>
      <c r="BV176" s="26">
        <v>49.2128</v>
      </c>
      <c r="BW176" s="26">
        <v>0.16</v>
      </c>
      <c r="BZ176" s="26" t="s">
        <v>167</v>
      </c>
      <c r="CA176" s="26" t="s">
        <v>189</v>
      </c>
      <c r="CC176" s="26" t="s">
        <v>162</v>
      </c>
      <c r="CD176" s="26">
        <v>0</v>
      </c>
      <c r="CE176" s="26" t="s">
        <v>190</v>
      </c>
      <c r="CF176" s="26" t="s">
        <v>167</v>
      </c>
      <c r="CG176" s="26" t="s">
        <v>3643</v>
      </c>
      <c r="CI176" s="26" t="s">
        <v>267</v>
      </c>
      <c r="CJ176" s="26">
        <v>307.58</v>
      </c>
      <c r="CK176" s="26">
        <v>0</v>
      </c>
      <c r="CL176" s="26">
        <v>15.38</v>
      </c>
      <c r="CM176" s="26">
        <v>83.12</v>
      </c>
      <c r="CQ176" s="26" t="s">
        <v>233</v>
      </c>
      <c r="CR176" s="26" t="s">
        <v>782</v>
      </c>
      <c r="CS176" s="26" t="s">
        <v>3631</v>
      </c>
      <c r="CW176" s="26" t="s">
        <v>3644</v>
      </c>
      <c r="CX176" s="26" t="s">
        <v>162</v>
      </c>
      <c r="CY176" s="26" t="s">
        <v>196</v>
      </c>
      <c r="CZ176" s="26">
        <v>0</v>
      </c>
      <c r="DB176" s="26">
        <v>0</v>
      </c>
      <c r="DK176" s="26" t="s">
        <v>150</v>
      </c>
      <c r="DL176" s="26" t="s">
        <v>581</v>
      </c>
      <c r="DM176" s="26" t="s">
        <v>3633</v>
      </c>
      <c r="DO176" s="26" t="s">
        <v>3634</v>
      </c>
      <c r="DR176" s="26" t="s">
        <v>189</v>
      </c>
      <c r="DS176" s="26" t="s">
        <v>189</v>
      </c>
      <c r="DT176" s="26" t="s">
        <v>189</v>
      </c>
      <c r="DU176" s="26" t="s">
        <v>189</v>
      </c>
      <c r="DV176" s="26" t="s">
        <v>203</v>
      </c>
      <c r="DW176" s="26" t="s">
        <v>162</v>
      </c>
      <c r="DX176" s="26" t="s">
        <v>162</v>
      </c>
      <c r="DY176" s="26">
        <v>0</v>
      </c>
      <c r="DZ176" s="26" t="s">
        <v>150</v>
      </c>
      <c r="EH176" s="26" t="s">
        <v>189</v>
      </c>
      <c r="EI176" s="26">
        <v>0.16</v>
      </c>
      <c r="EJ176" s="26">
        <v>49.2128</v>
      </c>
      <c r="EK176" s="26">
        <v>83.12</v>
      </c>
      <c r="EL176" s="26" t="s">
        <v>3645</v>
      </c>
      <c r="EM176" s="26" t="s">
        <v>206</v>
      </c>
      <c r="EN176" s="26" t="s">
        <v>207</v>
      </c>
    </row>
    <row r="177" spans="1:144">
      <c r="A177" s="26" t="s">
        <v>145</v>
      </c>
      <c r="B177" s="26" t="s">
        <v>763</v>
      </c>
      <c r="C177" s="26" t="s">
        <v>3615</v>
      </c>
      <c r="D177" s="26" t="s">
        <v>148</v>
      </c>
      <c r="E177" s="26" t="s">
        <v>149</v>
      </c>
      <c r="F177" s="26" t="s">
        <v>152</v>
      </c>
      <c r="G177" s="26" t="s">
        <v>151</v>
      </c>
      <c r="H177" s="26" t="s">
        <v>152</v>
      </c>
      <c r="I177" s="26" t="s">
        <v>153</v>
      </c>
      <c r="J177" s="26" t="s">
        <v>154</v>
      </c>
      <c r="K177" s="26" t="s">
        <v>244</v>
      </c>
      <c r="L177" s="26" t="s">
        <v>707</v>
      </c>
      <c r="M177" s="26" t="s">
        <v>3616</v>
      </c>
      <c r="O177" s="26" t="s">
        <v>3646</v>
      </c>
      <c r="P177" s="26" t="s">
        <v>3647</v>
      </c>
      <c r="S177" s="26" t="s">
        <v>3648</v>
      </c>
      <c r="T177" s="26">
        <v>201.708692</v>
      </c>
      <c r="U177" s="26" t="s">
        <v>3622</v>
      </c>
      <c r="V177" s="26" t="s">
        <v>150</v>
      </c>
      <c r="Y177" s="26" t="s">
        <v>3623</v>
      </c>
      <c r="Z177" s="26">
        <v>34.3438832</v>
      </c>
      <c r="AA177" s="26">
        <v>0</v>
      </c>
      <c r="AB177" s="26">
        <v>0</v>
      </c>
      <c r="AC177" s="26">
        <v>34</v>
      </c>
      <c r="AD177" s="26" t="s">
        <v>715</v>
      </c>
      <c r="AE177" s="26" t="s">
        <v>715</v>
      </c>
      <c r="AF177" s="26">
        <v>34</v>
      </c>
      <c r="AG177" s="26" t="s">
        <v>3649</v>
      </c>
      <c r="AI177" s="26" t="s">
        <v>167</v>
      </c>
      <c r="AJ177" s="26" t="s">
        <v>797</v>
      </c>
      <c r="AK177" s="26" t="s">
        <v>798</v>
      </c>
      <c r="AM177" s="26" t="s">
        <v>256</v>
      </c>
      <c r="AN177" s="26" t="s">
        <v>172</v>
      </c>
      <c r="AO177" s="26" t="s">
        <v>494</v>
      </c>
      <c r="AP177" s="26" t="s">
        <v>162</v>
      </c>
      <c r="AQ177" s="26" t="s">
        <v>3626</v>
      </c>
      <c r="AS177" s="26" t="s">
        <v>721</v>
      </c>
      <c r="AV177" s="26" t="s">
        <v>150</v>
      </c>
      <c r="AX177" s="26" t="s">
        <v>723</v>
      </c>
      <c r="AY177" s="26" t="s">
        <v>3628</v>
      </c>
      <c r="BC177" s="26" t="s">
        <v>3615</v>
      </c>
      <c r="BD177" s="26" t="s">
        <v>180</v>
      </c>
      <c r="BE177" s="26" t="s">
        <v>181</v>
      </c>
      <c r="BF177" s="26" t="s">
        <v>167</v>
      </c>
      <c r="BH177" s="26" t="s">
        <v>162</v>
      </c>
      <c r="BI177" s="26" t="s">
        <v>807</v>
      </c>
      <c r="BK177" s="26" t="s">
        <v>302</v>
      </c>
      <c r="BL177" s="26" t="s">
        <v>185</v>
      </c>
      <c r="BM177" s="26" t="s">
        <v>186</v>
      </c>
      <c r="BN177" s="26" t="s">
        <v>162</v>
      </c>
      <c r="BP177" s="26">
        <v>4.54</v>
      </c>
      <c r="BQ177" s="26" t="s">
        <v>494</v>
      </c>
      <c r="BS177" s="26" t="s">
        <v>230</v>
      </c>
      <c r="BT177" s="26" t="s">
        <v>185</v>
      </c>
      <c r="BV177" s="26">
        <v>33.2288</v>
      </c>
      <c r="BW177" s="26">
        <v>0.16</v>
      </c>
      <c r="BZ177" s="26" t="s">
        <v>167</v>
      </c>
      <c r="CA177" s="26" t="s">
        <v>189</v>
      </c>
      <c r="CC177" s="26" t="s">
        <v>162</v>
      </c>
      <c r="CD177" s="26">
        <v>0</v>
      </c>
      <c r="CE177" s="26" t="s">
        <v>190</v>
      </c>
      <c r="CF177" s="26" t="s">
        <v>305</v>
      </c>
      <c r="CG177" s="26" t="s">
        <v>3650</v>
      </c>
      <c r="CI177" s="26" t="s">
        <v>267</v>
      </c>
      <c r="CJ177" s="26">
        <v>207.68</v>
      </c>
      <c r="CK177" s="26">
        <v>0</v>
      </c>
      <c r="CL177" s="26">
        <v>10.38</v>
      </c>
      <c r="CM177" s="26">
        <v>62.87</v>
      </c>
      <c r="CQ177" s="26" t="s">
        <v>437</v>
      </c>
      <c r="CR177" s="26" t="s">
        <v>782</v>
      </c>
      <c r="CS177" s="26" t="s">
        <v>3631</v>
      </c>
      <c r="CW177" s="26" t="s">
        <v>3651</v>
      </c>
      <c r="CX177" s="26" t="s">
        <v>195</v>
      </c>
      <c r="CY177" s="26" t="s">
        <v>196</v>
      </c>
      <c r="CZ177" s="26">
        <v>0</v>
      </c>
      <c r="DB177" s="26">
        <v>0</v>
      </c>
      <c r="DK177" s="26" t="s">
        <v>150</v>
      </c>
      <c r="DL177" s="26" t="s">
        <v>581</v>
      </c>
      <c r="DM177" s="26" t="s">
        <v>3633</v>
      </c>
      <c r="DO177" s="26" t="s">
        <v>3634</v>
      </c>
      <c r="DR177" s="26" t="s">
        <v>189</v>
      </c>
      <c r="DS177" s="26" t="s">
        <v>189</v>
      </c>
      <c r="DT177" s="26" t="s">
        <v>189</v>
      </c>
      <c r="DU177" s="26" t="s">
        <v>189</v>
      </c>
      <c r="DV177" s="26" t="s">
        <v>203</v>
      </c>
      <c r="DW177" s="26" t="s">
        <v>162</v>
      </c>
      <c r="DX177" s="26" t="s">
        <v>162</v>
      </c>
      <c r="DY177" s="26">
        <v>0</v>
      </c>
      <c r="DZ177" s="26" t="s">
        <v>150</v>
      </c>
      <c r="EH177" s="26" t="s">
        <v>189</v>
      </c>
      <c r="EI177" s="26">
        <v>0.16</v>
      </c>
      <c r="EJ177" s="26">
        <v>33.2288</v>
      </c>
      <c r="EK177" s="26">
        <v>62.87</v>
      </c>
      <c r="EL177" s="26" t="s">
        <v>3652</v>
      </c>
      <c r="EM177" s="26" t="s">
        <v>206</v>
      </c>
      <c r="EN177" s="26" t="s">
        <v>207</v>
      </c>
    </row>
    <row r="178" spans="1:144">
      <c r="A178" s="26" t="s">
        <v>145</v>
      </c>
      <c r="B178" s="26" t="s">
        <v>763</v>
      </c>
      <c r="C178" s="26" t="s">
        <v>3615</v>
      </c>
      <c r="D178" s="26" t="s">
        <v>148</v>
      </c>
      <c r="E178" s="26" t="s">
        <v>149</v>
      </c>
      <c r="F178" s="26" t="s">
        <v>152</v>
      </c>
      <c r="G178" s="26" t="s">
        <v>151</v>
      </c>
      <c r="H178" s="26" t="s">
        <v>152</v>
      </c>
      <c r="I178" s="26" t="s">
        <v>153</v>
      </c>
      <c r="J178" s="26" t="s">
        <v>154</v>
      </c>
      <c r="K178" s="26" t="s">
        <v>244</v>
      </c>
      <c r="L178" s="26" t="s">
        <v>549</v>
      </c>
      <c r="M178" s="26" t="s">
        <v>3653</v>
      </c>
      <c r="N178" s="26" t="s">
        <v>3654</v>
      </c>
      <c r="O178" s="26" t="s">
        <v>3618</v>
      </c>
      <c r="P178" s="26" t="s">
        <v>3619</v>
      </c>
      <c r="Q178" s="26" t="s">
        <v>3655</v>
      </c>
      <c r="R178" s="26">
        <v>377.844337</v>
      </c>
      <c r="S178" s="26" t="s">
        <v>3621</v>
      </c>
      <c r="T178" s="26">
        <v>165.968048</v>
      </c>
      <c r="U178" s="26" t="s">
        <v>217</v>
      </c>
      <c r="V178" s="26" t="s">
        <v>150</v>
      </c>
      <c r="Y178" s="26" t="s">
        <v>3656</v>
      </c>
      <c r="Z178" s="26">
        <v>25.58126324</v>
      </c>
      <c r="AA178" s="26">
        <v>0</v>
      </c>
      <c r="AB178" s="26">
        <v>0</v>
      </c>
      <c r="AC178" s="26">
        <v>33</v>
      </c>
      <c r="AD178" s="26" t="s">
        <v>3624</v>
      </c>
      <c r="AE178" s="26" t="s">
        <v>458</v>
      </c>
      <c r="AF178" s="26" t="s">
        <v>458</v>
      </c>
      <c r="AG178" s="26" t="s">
        <v>3657</v>
      </c>
      <c r="AH178" s="26" t="s">
        <v>3658</v>
      </c>
      <c r="AI178" s="26" t="s">
        <v>167</v>
      </c>
      <c r="AJ178" s="26" t="s">
        <v>168</v>
      </c>
      <c r="AK178" s="26" t="s">
        <v>169</v>
      </c>
      <c r="AL178" s="26" t="s">
        <v>1864</v>
      </c>
      <c r="AM178" s="26" t="s">
        <v>855</v>
      </c>
      <c r="AN178" s="26" t="s">
        <v>172</v>
      </c>
      <c r="AO178" s="26" t="s">
        <v>1164</v>
      </c>
      <c r="AP178" s="26" t="s">
        <v>162</v>
      </c>
      <c r="AQ178" s="26" t="s">
        <v>3626</v>
      </c>
      <c r="AR178" s="26" t="s">
        <v>3659</v>
      </c>
      <c r="AS178" s="26" t="s">
        <v>859</v>
      </c>
      <c r="AT178" s="26" t="s">
        <v>1167</v>
      </c>
      <c r="AU178" s="26" t="s">
        <v>3660</v>
      </c>
      <c r="AV178" s="26" t="s">
        <v>3660</v>
      </c>
      <c r="AX178" s="26" t="s">
        <v>3627</v>
      </c>
      <c r="AY178" s="26" t="s">
        <v>179</v>
      </c>
      <c r="BC178" s="26" t="s">
        <v>3615</v>
      </c>
      <c r="BD178" s="26" t="s">
        <v>180</v>
      </c>
      <c r="BE178" s="26" t="s">
        <v>181</v>
      </c>
      <c r="BF178" s="26" t="s">
        <v>167</v>
      </c>
      <c r="BH178" s="26" t="s">
        <v>162</v>
      </c>
      <c r="BI178" s="26" t="s">
        <v>182</v>
      </c>
      <c r="BJ178" s="26" t="s">
        <v>3661</v>
      </c>
      <c r="BK178" s="26" t="s">
        <v>264</v>
      </c>
      <c r="BL178" s="26" t="s">
        <v>185</v>
      </c>
      <c r="BM178" s="26" t="s">
        <v>186</v>
      </c>
      <c r="BN178" s="26" t="s">
        <v>162</v>
      </c>
      <c r="BP178" s="26">
        <v>-2.38</v>
      </c>
      <c r="BQ178" s="26" t="s">
        <v>1164</v>
      </c>
      <c r="BS178" s="26" t="s">
        <v>188</v>
      </c>
      <c r="BT178" s="26" t="s">
        <v>185</v>
      </c>
      <c r="BV178" s="26">
        <v>27.384</v>
      </c>
      <c r="BW178" s="26">
        <v>0.16</v>
      </c>
      <c r="BZ178" s="26">
        <v>0.9</v>
      </c>
      <c r="CA178" s="26" t="s">
        <v>189</v>
      </c>
      <c r="CC178" s="26" t="s">
        <v>162</v>
      </c>
      <c r="CD178" s="26">
        <v>0</v>
      </c>
      <c r="CE178" s="26" t="s">
        <v>190</v>
      </c>
      <c r="CF178" s="26" t="s">
        <v>195</v>
      </c>
      <c r="CG178" s="26" t="s">
        <v>3630</v>
      </c>
      <c r="CI178" s="26" t="s">
        <v>267</v>
      </c>
      <c r="CJ178" s="26">
        <v>171.15</v>
      </c>
      <c r="CK178" s="26">
        <v>0</v>
      </c>
      <c r="CL178" s="26">
        <v>8.56</v>
      </c>
      <c r="CM178" s="26">
        <v>33.41</v>
      </c>
      <c r="CQ178" s="26" t="s">
        <v>437</v>
      </c>
      <c r="CR178" s="26" t="s">
        <v>3662</v>
      </c>
      <c r="CS178" s="26" t="s">
        <v>3631</v>
      </c>
      <c r="CW178" s="26" t="s">
        <v>3632</v>
      </c>
      <c r="CX178" s="26" t="s">
        <v>162</v>
      </c>
      <c r="CY178" s="26" t="s">
        <v>196</v>
      </c>
      <c r="CZ178" s="26">
        <v>0</v>
      </c>
      <c r="DB178" s="26">
        <v>0</v>
      </c>
      <c r="DK178" s="26" t="s">
        <v>150</v>
      </c>
      <c r="DL178" s="26" t="s">
        <v>581</v>
      </c>
      <c r="DM178" s="26" t="s">
        <v>3633</v>
      </c>
      <c r="DN178" s="26" t="s">
        <v>3663</v>
      </c>
      <c r="DO178" s="26" t="s">
        <v>3634</v>
      </c>
      <c r="DP178" s="26" t="s">
        <v>3664</v>
      </c>
      <c r="DR178" s="26" t="s">
        <v>189</v>
      </c>
      <c r="DS178" s="26" t="s">
        <v>189</v>
      </c>
      <c r="DT178" s="26" t="s">
        <v>189</v>
      </c>
      <c r="DU178" s="26" t="s">
        <v>189</v>
      </c>
      <c r="DV178" s="26" t="s">
        <v>203</v>
      </c>
      <c r="DW178" s="26" t="s">
        <v>162</v>
      </c>
      <c r="DX178" s="26" t="s">
        <v>162</v>
      </c>
      <c r="DY178" s="26">
        <v>0</v>
      </c>
      <c r="DZ178" s="26" t="s">
        <v>150</v>
      </c>
      <c r="EH178" s="26" t="s">
        <v>189</v>
      </c>
      <c r="EI178" s="26">
        <v>0.16</v>
      </c>
      <c r="EJ178" s="26">
        <v>27.384</v>
      </c>
      <c r="EK178" s="26">
        <v>33.41</v>
      </c>
      <c r="EM178" s="26" t="s">
        <v>206</v>
      </c>
      <c r="EN178" s="26" t="s">
        <v>207</v>
      </c>
    </row>
    <row r="179" spans="1:144">
      <c r="A179" s="26" t="s">
        <v>145</v>
      </c>
      <c r="B179" s="26" t="s">
        <v>763</v>
      </c>
      <c r="C179" s="26" t="s">
        <v>3615</v>
      </c>
      <c r="D179" s="26" t="s">
        <v>148</v>
      </c>
      <c r="E179" s="26" t="s">
        <v>149</v>
      </c>
      <c r="F179" s="26" t="s">
        <v>152</v>
      </c>
      <c r="G179" s="26" t="s">
        <v>151</v>
      </c>
      <c r="H179" s="26" t="s">
        <v>152</v>
      </c>
      <c r="I179" s="26" t="s">
        <v>153</v>
      </c>
      <c r="J179" s="26" t="s">
        <v>154</v>
      </c>
      <c r="K179" s="26" t="s">
        <v>244</v>
      </c>
      <c r="L179" s="26" t="s">
        <v>707</v>
      </c>
      <c r="M179" s="26" t="s">
        <v>3653</v>
      </c>
      <c r="O179" s="26" t="s">
        <v>3646</v>
      </c>
      <c r="P179" s="26" t="s">
        <v>3647</v>
      </c>
      <c r="S179" s="26" t="s">
        <v>3648</v>
      </c>
      <c r="T179" s="26">
        <v>201.708692</v>
      </c>
      <c r="U179" s="26" t="s">
        <v>217</v>
      </c>
      <c r="V179" s="26" t="s">
        <v>150</v>
      </c>
      <c r="Y179" s="26" t="s">
        <v>3665</v>
      </c>
      <c r="Z179" s="26">
        <v>31.09025216</v>
      </c>
      <c r="AA179" s="26">
        <v>0</v>
      </c>
      <c r="AB179" s="26">
        <v>0</v>
      </c>
      <c r="AC179" s="26">
        <v>34</v>
      </c>
      <c r="AD179" s="26" t="s">
        <v>715</v>
      </c>
      <c r="AE179" s="26" t="s">
        <v>715</v>
      </c>
      <c r="AF179" s="26" t="s">
        <v>715</v>
      </c>
      <c r="AG179" s="26" t="s">
        <v>3666</v>
      </c>
      <c r="AI179" s="26" t="s">
        <v>167</v>
      </c>
      <c r="AJ179" s="26" t="s">
        <v>168</v>
      </c>
      <c r="AK179" s="26" t="s">
        <v>169</v>
      </c>
      <c r="AM179" s="26" t="s">
        <v>256</v>
      </c>
      <c r="AN179" s="26" t="s">
        <v>172</v>
      </c>
      <c r="AO179" s="26" t="s">
        <v>494</v>
      </c>
      <c r="AP179" s="26" t="s">
        <v>162</v>
      </c>
      <c r="AQ179" s="26" t="s">
        <v>3626</v>
      </c>
      <c r="AR179" s="26" t="s">
        <v>3659</v>
      </c>
      <c r="AS179" s="26" t="s">
        <v>721</v>
      </c>
      <c r="AU179" s="26" t="s">
        <v>3660</v>
      </c>
      <c r="AV179" s="26" t="s">
        <v>3660</v>
      </c>
      <c r="AX179" s="26" t="s">
        <v>723</v>
      </c>
      <c r="AY179" s="26" t="s">
        <v>179</v>
      </c>
      <c r="BC179" s="26" t="s">
        <v>3615</v>
      </c>
      <c r="BD179" s="26" t="s">
        <v>180</v>
      </c>
      <c r="BE179" s="26" t="s">
        <v>181</v>
      </c>
      <c r="BF179" s="26" t="s">
        <v>167</v>
      </c>
      <c r="BH179" s="26" t="s">
        <v>162</v>
      </c>
      <c r="BI179" s="26" t="s">
        <v>182</v>
      </c>
      <c r="BJ179" s="26" t="s">
        <v>682</v>
      </c>
      <c r="BK179" s="26" t="s">
        <v>264</v>
      </c>
      <c r="BL179" s="26" t="s">
        <v>185</v>
      </c>
      <c r="BM179" s="26" t="s">
        <v>186</v>
      </c>
      <c r="BN179" s="26" t="s">
        <v>162</v>
      </c>
      <c r="BP179" s="26">
        <v>-2.87</v>
      </c>
      <c r="BQ179" s="26" t="s">
        <v>494</v>
      </c>
      <c r="BS179" s="26" t="s">
        <v>230</v>
      </c>
      <c r="BT179" s="26" t="s">
        <v>185</v>
      </c>
      <c r="BV179" s="26">
        <v>33.0704</v>
      </c>
      <c r="BW179" s="26">
        <v>0.16</v>
      </c>
      <c r="BZ179" s="26">
        <v>0</v>
      </c>
      <c r="CA179" s="26" t="s">
        <v>189</v>
      </c>
      <c r="CC179" s="26" t="s">
        <v>162</v>
      </c>
      <c r="CD179" s="26">
        <v>0</v>
      </c>
      <c r="CE179" s="26" t="s">
        <v>190</v>
      </c>
      <c r="CF179" s="26" t="s">
        <v>305</v>
      </c>
      <c r="CG179" s="26" t="s">
        <v>3650</v>
      </c>
      <c r="CI179" s="26" t="s">
        <v>267</v>
      </c>
      <c r="CJ179" s="26">
        <v>206.69</v>
      </c>
      <c r="CK179" s="26">
        <v>0</v>
      </c>
      <c r="CL179" s="26">
        <v>10.33</v>
      </c>
      <c r="CM179" s="26">
        <v>60.14</v>
      </c>
      <c r="CQ179" s="26" t="s">
        <v>437</v>
      </c>
      <c r="CR179" s="26" t="s">
        <v>3662</v>
      </c>
      <c r="CS179" s="26" t="s">
        <v>3631</v>
      </c>
      <c r="CW179" s="26" t="s">
        <v>3651</v>
      </c>
      <c r="CX179" s="26" t="s">
        <v>195</v>
      </c>
      <c r="CY179" s="26" t="s">
        <v>196</v>
      </c>
      <c r="CZ179" s="26">
        <v>0</v>
      </c>
      <c r="DB179" s="26">
        <v>0</v>
      </c>
      <c r="DK179" s="26" t="s">
        <v>150</v>
      </c>
      <c r="DL179" s="26" t="s">
        <v>581</v>
      </c>
      <c r="DM179" s="26" t="s">
        <v>3633</v>
      </c>
      <c r="DN179" s="26" t="s">
        <v>3663</v>
      </c>
      <c r="DO179" s="26" t="s">
        <v>3634</v>
      </c>
      <c r="DP179" s="26" t="s">
        <v>3664</v>
      </c>
      <c r="DR179" s="26" t="s">
        <v>189</v>
      </c>
      <c r="DS179" s="26" t="s">
        <v>189</v>
      </c>
      <c r="DT179" s="26" t="s">
        <v>189</v>
      </c>
      <c r="DU179" s="26" t="s">
        <v>189</v>
      </c>
      <c r="DV179" s="26" t="s">
        <v>203</v>
      </c>
      <c r="DW179" s="26" t="s">
        <v>162</v>
      </c>
      <c r="DX179" s="26" t="s">
        <v>162</v>
      </c>
      <c r="DY179" s="26">
        <v>0</v>
      </c>
      <c r="DZ179" s="26" t="s">
        <v>150</v>
      </c>
      <c r="EH179" s="26" t="s">
        <v>189</v>
      </c>
      <c r="EI179" s="26">
        <v>0.16</v>
      </c>
      <c r="EJ179" s="26">
        <v>33.0704</v>
      </c>
      <c r="EK179" s="26">
        <v>60.14</v>
      </c>
      <c r="EM179" s="26" t="s">
        <v>206</v>
      </c>
      <c r="EN179" s="26" t="s">
        <v>207</v>
      </c>
    </row>
    <row r="180" spans="1:144">
      <c r="A180" s="26" t="s">
        <v>145</v>
      </c>
      <c r="B180" s="26" t="s">
        <v>763</v>
      </c>
      <c r="C180" s="26" t="s">
        <v>3615</v>
      </c>
      <c r="D180" s="26" t="s">
        <v>148</v>
      </c>
      <c r="E180" s="26" t="s">
        <v>149</v>
      </c>
      <c r="F180" s="26" t="s">
        <v>152</v>
      </c>
      <c r="G180" s="26" t="s">
        <v>151</v>
      </c>
      <c r="H180" s="26" t="s">
        <v>152</v>
      </c>
      <c r="I180" s="26" t="s">
        <v>153</v>
      </c>
      <c r="J180" s="26" t="s">
        <v>154</v>
      </c>
      <c r="K180" s="26" t="s">
        <v>244</v>
      </c>
      <c r="L180" s="26" t="s">
        <v>707</v>
      </c>
      <c r="M180" s="26" t="s">
        <v>3667</v>
      </c>
      <c r="N180" s="26" t="s">
        <v>3668</v>
      </c>
      <c r="O180" s="26" t="s">
        <v>3636</v>
      </c>
      <c r="P180" s="26" t="s">
        <v>3637</v>
      </c>
      <c r="Q180" s="26" t="s">
        <v>3669</v>
      </c>
      <c r="R180" s="26">
        <v>309.033327</v>
      </c>
      <c r="S180" s="26" t="s">
        <v>1739</v>
      </c>
      <c r="T180" s="26">
        <v>300.714384</v>
      </c>
      <c r="U180" s="26" t="s">
        <v>217</v>
      </c>
      <c r="V180" s="26" t="s">
        <v>150</v>
      </c>
      <c r="Y180" s="26" t="s">
        <v>3670</v>
      </c>
      <c r="Z180" s="26">
        <v>46.34780984</v>
      </c>
      <c r="AA180" s="26">
        <v>0</v>
      </c>
      <c r="AB180" s="26">
        <v>0</v>
      </c>
      <c r="AC180" s="26">
        <v>53.2</v>
      </c>
      <c r="AD180" s="26" t="s">
        <v>3638</v>
      </c>
      <c r="AE180" s="26" t="s">
        <v>3638</v>
      </c>
      <c r="AF180" s="26">
        <v>56.2</v>
      </c>
      <c r="AG180" s="26" t="s">
        <v>3671</v>
      </c>
      <c r="AH180" s="26" t="s">
        <v>3672</v>
      </c>
      <c r="AI180" s="26" t="s">
        <v>167</v>
      </c>
      <c r="AJ180" s="26" t="s">
        <v>797</v>
      </c>
      <c r="AK180" s="26" t="s">
        <v>798</v>
      </c>
      <c r="AL180" s="26" t="s">
        <v>162</v>
      </c>
      <c r="AM180" s="26" t="s">
        <v>3640</v>
      </c>
      <c r="AN180" s="26" t="s">
        <v>172</v>
      </c>
      <c r="AO180" s="26" t="s">
        <v>3641</v>
      </c>
      <c r="AP180" s="26" t="s">
        <v>162</v>
      </c>
      <c r="AQ180" s="26" t="s">
        <v>3626</v>
      </c>
      <c r="AS180" s="26" t="s">
        <v>1898</v>
      </c>
      <c r="AV180" s="26" t="s">
        <v>150</v>
      </c>
      <c r="AX180" s="26" t="s">
        <v>3642</v>
      </c>
      <c r="AY180" s="26" t="s">
        <v>2335</v>
      </c>
      <c r="BC180" s="26" t="s">
        <v>3615</v>
      </c>
      <c r="BD180" s="26" t="s">
        <v>180</v>
      </c>
      <c r="BE180" s="26" t="s">
        <v>181</v>
      </c>
      <c r="BF180" s="26" t="s">
        <v>167</v>
      </c>
      <c r="BH180" s="26" t="s">
        <v>162</v>
      </c>
      <c r="BI180" s="26" t="s">
        <v>807</v>
      </c>
      <c r="BK180" s="26" t="s">
        <v>184</v>
      </c>
      <c r="BL180" s="26" t="s">
        <v>185</v>
      </c>
      <c r="BM180" s="26" t="s">
        <v>186</v>
      </c>
      <c r="BN180" s="26" t="s">
        <v>162</v>
      </c>
      <c r="BP180" s="26">
        <v>5.25</v>
      </c>
      <c r="BQ180" s="26" t="s">
        <v>776</v>
      </c>
      <c r="BS180" s="26" t="s">
        <v>354</v>
      </c>
      <c r="BT180" s="26" t="s">
        <v>185</v>
      </c>
      <c r="BV180" s="26">
        <v>49.4448</v>
      </c>
      <c r="BW180" s="26">
        <v>0.16</v>
      </c>
      <c r="BZ180" s="26" t="s">
        <v>167</v>
      </c>
      <c r="CA180" s="26" t="s">
        <v>189</v>
      </c>
      <c r="CC180" s="26" t="s">
        <v>162</v>
      </c>
      <c r="CD180" s="26">
        <v>0</v>
      </c>
      <c r="CE180" s="26" t="s">
        <v>190</v>
      </c>
      <c r="CF180" s="26" t="s">
        <v>167</v>
      </c>
      <c r="CG180" s="26" t="s">
        <v>3643</v>
      </c>
      <c r="CI180" s="26" t="s">
        <v>267</v>
      </c>
      <c r="CJ180" s="26">
        <v>309.03</v>
      </c>
      <c r="CK180" s="26">
        <v>0</v>
      </c>
      <c r="CL180" s="26">
        <v>15.45</v>
      </c>
      <c r="CM180" s="26">
        <v>63.69</v>
      </c>
      <c r="CQ180" s="26" t="s">
        <v>233</v>
      </c>
      <c r="CR180" s="26" t="s">
        <v>782</v>
      </c>
      <c r="CS180" s="26" t="s">
        <v>3631</v>
      </c>
      <c r="CW180" s="26" t="s">
        <v>3644</v>
      </c>
      <c r="CX180" s="26" t="s">
        <v>162</v>
      </c>
      <c r="CY180" s="26" t="s">
        <v>196</v>
      </c>
      <c r="CZ180" s="26">
        <v>0</v>
      </c>
      <c r="DB180" s="26">
        <v>0</v>
      </c>
      <c r="DK180" s="26" t="s">
        <v>150</v>
      </c>
      <c r="DL180" s="26" t="s">
        <v>581</v>
      </c>
      <c r="DM180" s="26" t="s">
        <v>3633</v>
      </c>
      <c r="DO180" s="26" t="s">
        <v>3634</v>
      </c>
      <c r="DR180" s="26" t="s">
        <v>189</v>
      </c>
      <c r="DS180" s="26" t="s">
        <v>189</v>
      </c>
      <c r="DT180" s="26" t="s">
        <v>189</v>
      </c>
      <c r="DU180" s="26" t="s">
        <v>189</v>
      </c>
      <c r="DV180" s="26" t="s">
        <v>203</v>
      </c>
      <c r="DW180" s="26" t="s">
        <v>162</v>
      </c>
      <c r="DX180" s="26" t="s">
        <v>162</v>
      </c>
      <c r="DY180" s="26">
        <v>0</v>
      </c>
      <c r="DZ180" s="26" t="s">
        <v>150</v>
      </c>
      <c r="EH180" s="26" t="s">
        <v>189</v>
      </c>
      <c r="EI180" s="26">
        <v>0.16</v>
      </c>
      <c r="EJ180" s="26">
        <v>49.4448</v>
      </c>
      <c r="EK180" s="26">
        <v>63.69</v>
      </c>
      <c r="EM180" s="26" t="s">
        <v>206</v>
      </c>
      <c r="EN180" s="26" t="s">
        <v>207</v>
      </c>
    </row>
    <row r="181" spans="1:144">
      <c r="A181" s="26" t="s">
        <v>145</v>
      </c>
      <c r="B181" s="26" t="s">
        <v>763</v>
      </c>
      <c r="C181" s="26" t="s">
        <v>3673</v>
      </c>
      <c r="D181" s="26" t="s">
        <v>148</v>
      </c>
      <c r="E181" s="26" t="s">
        <v>149</v>
      </c>
      <c r="F181" s="26" t="s">
        <v>152</v>
      </c>
      <c r="G181" s="26" t="s">
        <v>151</v>
      </c>
      <c r="H181" s="26" t="s">
        <v>152</v>
      </c>
      <c r="I181" s="26" t="s">
        <v>153</v>
      </c>
      <c r="J181" s="26" t="s">
        <v>154</v>
      </c>
      <c r="K181" s="26" t="s">
        <v>1075</v>
      </c>
      <c r="L181" s="26" t="s">
        <v>1076</v>
      </c>
      <c r="M181" s="26" t="s">
        <v>3674</v>
      </c>
      <c r="N181" s="26" t="s">
        <v>3675</v>
      </c>
      <c r="O181" s="26" t="s">
        <v>3676</v>
      </c>
      <c r="P181" s="26" t="s">
        <v>3677</v>
      </c>
      <c r="Q181" s="26" t="s">
        <v>3678</v>
      </c>
      <c r="R181" s="26">
        <v>105.578684</v>
      </c>
      <c r="S181" s="26" t="s">
        <v>2243</v>
      </c>
      <c r="T181" s="26">
        <v>99.416504</v>
      </c>
      <c r="U181" s="26" t="s">
        <v>217</v>
      </c>
      <c r="V181" s="26" t="s">
        <v>150</v>
      </c>
      <c r="Y181" s="26" t="s">
        <v>3679</v>
      </c>
      <c r="Z181" s="26">
        <v>15.8368026</v>
      </c>
      <c r="AA181" s="26">
        <v>0</v>
      </c>
      <c r="AB181" s="26">
        <v>0</v>
      </c>
      <c r="AC181" s="26">
        <v>26.5</v>
      </c>
      <c r="AD181" s="26" t="s">
        <v>1083</v>
      </c>
      <c r="AE181" s="26" t="s">
        <v>1083</v>
      </c>
      <c r="AF181" s="26" t="s">
        <v>1083</v>
      </c>
      <c r="AG181" s="26" t="s">
        <v>3680</v>
      </c>
      <c r="AI181" s="26" t="s">
        <v>167</v>
      </c>
      <c r="AJ181" s="26" t="s">
        <v>168</v>
      </c>
      <c r="AK181" s="26" t="s">
        <v>169</v>
      </c>
      <c r="AL181" s="26" t="s">
        <v>3681</v>
      </c>
      <c r="AM181" s="26" t="s">
        <v>3098</v>
      </c>
      <c r="AN181" s="26" t="s">
        <v>172</v>
      </c>
      <c r="AO181" s="26" t="s">
        <v>1087</v>
      </c>
      <c r="AP181" s="26" t="s">
        <v>162</v>
      </c>
      <c r="AQ181" s="26" t="s">
        <v>3682</v>
      </c>
      <c r="AR181" s="26" t="s">
        <v>3683</v>
      </c>
      <c r="AS181" s="26" t="s">
        <v>1090</v>
      </c>
      <c r="AU181" s="26" t="s">
        <v>3684</v>
      </c>
      <c r="AV181" s="26" t="s">
        <v>3684</v>
      </c>
      <c r="AX181" s="26" t="s">
        <v>1092</v>
      </c>
      <c r="AY181" s="26" t="s">
        <v>179</v>
      </c>
      <c r="BC181" s="26" t="s">
        <v>3673</v>
      </c>
      <c r="BD181" s="26" t="s">
        <v>180</v>
      </c>
      <c r="BE181" s="26" t="s">
        <v>1007</v>
      </c>
      <c r="BF181" s="26" t="s">
        <v>167</v>
      </c>
      <c r="BH181" s="26" t="s">
        <v>162</v>
      </c>
      <c r="BI181" s="26" t="s">
        <v>182</v>
      </c>
      <c r="BJ181" s="26" t="s">
        <v>384</v>
      </c>
      <c r="BK181" s="26" t="s">
        <v>184</v>
      </c>
      <c r="BL181" s="26" t="s">
        <v>185</v>
      </c>
      <c r="BM181" s="26" t="s">
        <v>186</v>
      </c>
      <c r="BN181" s="26" t="s">
        <v>162</v>
      </c>
      <c r="BP181" s="26">
        <v>0</v>
      </c>
      <c r="BQ181" s="26" t="s">
        <v>776</v>
      </c>
      <c r="BS181" s="26" t="s">
        <v>354</v>
      </c>
      <c r="BT181" s="26" t="s">
        <v>185</v>
      </c>
      <c r="BV181" s="26">
        <v>14.7812</v>
      </c>
      <c r="BW181" s="26">
        <v>0.14</v>
      </c>
      <c r="BZ181" s="26">
        <v>0</v>
      </c>
      <c r="CA181" s="26" t="s">
        <v>189</v>
      </c>
      <c r="CC181" s="26" t="s">
        <v>162</v>
      </c>
      <c r="CD181" s="26">
        <v>0</v>
      </c>
      <c r="CE181" s="26" t="s">
        <v>190</v>
      </c>
      <c r="CF181" s="26" t="s">
        <v>167</v>
      </c>
      <c r="CG181" s="26" t="s">
        <v>1094</v>
      </c>
      <c r="CI181" s="26" t="s">
        <v>1095</v>
      </c>
      <c r="CJ181" s="26">
        <v>105.58</v>
      </c>
      <c r="CK181" s="26">
        <v>0</v>
      </c>
      <c r="CL181" s="26">
        <v>5.28</v>
      </c>
      <c r="CM181" s="26">
        <v>5.45</v>
      </c>
      <c r="CQ181" s="26" t="s">
        <v>192</v>
      </c>
      <c r="CR181" s="26" t="s">
        <v>3685</v>
      </c>
      <c r="CS181" s="26" t="s">
        <v>3686</v>
      </c>
      <c r="CW181" s="26" t="s">
        <v>1098</v>
      </c>
      <c r="CX181" s="26" t="s">
        <v>162</v>
      </c>
      <c r="CY181" s="26" t="s">
        <v>196</v>
      </c>
      <c r="CZ181" s="26">
        <v>0</v>
      </c>
      <c r="DB181" s="26">
        <v>0</v>
      </c>
      <c r="DK181" s="26" t="s">
        <v>150</v>
      </c>
      <c r="DL181" s="26" t="s">
        <v>542</v>
      </c>
      <c r="DM181" s="26" t="s">
        <v>3687</v>
      </c>
      <c r="DN181" s="26" t="s">
        <v>3688</v>
      </c>
      <c r="DO181" s="26" t="s">
        <v>3689</v>
      </c>
      <c r="DP181" s="26" t="s">
        <v>3690</v>
      </c>
      <c r="DR181" s="26" t="s">
        <v>189</v>
      </c>
      <c r="DS181" s="26" t="s">
        <v>189</v>
      </c>
      <c r="DT181" s="26" t="s">
        <v>189</v>
      </c>
      <c r="DU181" s="26" t="s">
        <v>189</v>
      </c>
      <c r="DV181" s="26" t="s">
        <v>203</v>
      </c>
      <c r="DW181" s="26" t="s">
        <v>162</v>
      </c>
      <c r="DX181" s="26" t="s">
        <v>162</v>
      </c>
      <c r="DY181" s="26">
        <v>0</v>
      </c>
      <c r="DZ181" s="26" t="s">
        <v>150</v>
      </c>
      <c r="EH181" s="26" t="s">
        <v>189</v>
      </c>
      <c r="EI181" s="26">
        <v>0.14</v>
      </c>
      <c r="EJ181" s="26">
        <v>14.7812</v>
      </c>
      <c r="EK181" s="26">
        <v>5.45</v>
      </c>
      <c r="EL181" s="26" t="s">
        <v>3691</v>
      </c>
      <c r="EM181" s="26" t="s">
        <v>206</v>
      </c>
      <c r="EN181" s="26" t="s">
        <v>207</v>
      </c>
    </row>
    <row r="182" spans="1:144">
      <c r="A182" s="26" t="s">
        <v>145</v>
      </c>
      <c r="B182" s="26" t="s">
        <v>763</v>
      </c>
      <c r="C182" s="26" t="s">
        <v>3692</v>
      </c>
      <c r="D182" s="26" t="s">
        <v>148</v>
      </c>
      <c r="E182" s="26" t="s">
        <v>149</v>
      </c>
      <c r="F182" s="26" t="s">
        <v>152</v>
      </c>
      <c r="G182" s="26" t="s">
        <v>151</v>
      </c>
      <c r="H182" s="26" t="s">
        <v>152</v>
      </c>
      <c r="I182" s="26" t="s">
        <v>153</v>
      </c>
      <c r="J182" s="26" t="s">
        <v>154</v>
      </c>
      <c r="K182" s="26" t="s">
        <v>474</v>
      </c>
      <c r="L182" s="26" t="s">
        <v>3693</v>
      </c>
      <c r="M182" s="26" t="s">
        <v>3694</v>
      </c>
      <c r="N182" s="26" t="s">
        <v>3695</v>
      </c>
      <c r="O182" s="26" t="s">
        <v>3696</v>
      </c>
      <c r="P182" s="26" t="s">
        <v>3697</v>
      </c>
      <c r="Q182" s="26" t="s">
        <v>3698</v>
      </c>
      <c r="R182" s="26">
        <v>438.336404</v>
      </c>
      <c r="S182" s="26" t="s">
        <v>566</v>
      </c>
      <c r="T182" s="26">
        <v>131.870652</v>
      </c>
      <c r="U182" s="26" t="s">
        <v>217</v>
      </c>
      <c r="V182" s="26" t="s">
        <v>150</v>
      </c>
      <c r="Y182" s="26" t="s">
        <v>3699</v>
      </c>
      <c r="Z182" s="26">
        <v>21.9168202</v>
      </c>
      <c r="AA182" s="26">
        <v>0</v>
      </c>
      <c r="AB182" s="26">
        <v>0</v>
      </c>
      <c r="AC182" s="26">
        <v>25</v>
      </c>
      <c r="AD182" s="26" t="s">
        <v>3700</v>
      </c>
      <c r="AE182" s="26" t="s">
        <v>3701</v>
      </c>
      <c r="AF182" s="26" t="s">
        <v>3701</v>
      </c>
      <c r="AG182" s="26" t="s">
        <v>3702</v>
      </c>
      <c r="AI182" s="26" t="s">
        <v>167</v>
      </c>
      <c r="AJ182" s="26" t="s">
        <v>168</v>
      </c>
      <c r="AK182" s="26" t="s">
        <v>169</v>
      </c>
      <c r="AL182" s="26" t="s">
        <v>3703</v>
      </c>
      <c r="AM182" s="26" t="s">
        <v>3012</v>
      </c>
      <c r="AN182" s="26" t="s">
        <v>172</v>
      </c>
      <c r="AO182" s="26" t="s">
        <v>494</v>
      </c>
      <c r="AP182" s="26" t="s">
        <v>162</v>
      </c>
      <c r="AQ182" s="26" t="s">
        <v>3704</v>
      </c>
      <c r="AR182" s="26" t="s">
        <v>3705</v>
      </c>
      <c r="AS182" s="26" t="s">
        <v>175</v>
      </c>
      <c r="AT182" s="26" t="s">
        <v>534</v>
      </c>
      <c r="AU182" s="26" t="s">
        <v>3706</v>
      </c>
      <c r="AV182" s="26" t="s">
        <v>3706</v>
      </c>
      <c r="AX182" s="26" t="s">
        <v>3707</v>
      </c>
      <c r="AY182" s="26" t="s">
        <v>179</v>
      </c>
      <c r="BC182" s="26" t="s">
        <v>3692</v>
      </c>
      <c r="BD182" s="26" t="s">
        <v>180</v>
      </c>
      <c r="BE182" s="26" t="s">
        <v>181</v>
      </c>
      <c r="BF182" s="26" t="s">
        <v>195</v>
      </c>
      <c r="BH182" s="26" t="s">
        <v>1902</v>
      </c>
      <c r="BI182" s="26" t="s">
        <v>182</v>
      </c>
      <c r="BJ182" s="26" t="s">
        <v>3708</v>
      </c>
      <c r="BK182" s="26" t="s">
        <v>302</v>
      </c>
      <c r="BL182" s="26" t="s">
        <v>185</v>
      </c>
      <c r="BM182" s="26" t="s">
        <v>186</v>
      </c>
      <c r="BN182" s="26" t="s">
        <v>162</v>
      </c>
      <c r="BP182" s="26">
        <v>0</v>
      </c>
      <c r="BQ182" s="26" t="s">
        <v>494</v>
      </c>
      <c r="BS182" s="26" t="s">
        <v>230</v>
      </c>
      <c r="BT182" s="26" t="s">
        <v>185</v>
      </c>
      <c r="BV182" s="26">
        <v>22.0848</v>
      </c>
      <c r="BW182" s="26">
        <v>0.16</v>
      </c>
      <c r="BZ182" s="26">
        <v>0</v>
      </c>
      <c r="CA182" s="26" t="s">
        <v>189</v>
      </c>
      <c r="CC182" s="26" t="s">
        <v>162</v>
      </c>
      <c r="CD182" s="26">
        <v>0</v>
      </c>
      <c r="CE182" s="26" t="s">
        <v>190</v>
      </c>
      <c r="CF182" s="26" t="s">
        <v>305</v>
      </c>
      <c r="CG182" s="26" t="s">
        <v>3709</v>
      </c>
      <c r="CI182" s="26" t="s">
        <v>496</v>
      </c>
      <c r="CJ182" s="26">
        <v>138.03</v>
      </c>
      <c r="CK182" s="26">
        <v>0</v>
      </c>
      <c r="CL182" s="26">
        <v>6.9</v>
      </c>
      <c r="CM182" s="26">
        <v>30.66</v>
      </c>
      <c r="CQ182" s="26" t="s">
        <v>192</v>
      </c>
      <c r="CR182" s="26" t="s">
        <v>3710</v>
      </c>
      <c r="CS182" s="26" t="s">
        <v>3711</v>
      </c>
      <c r="CW182" s="26" t="s">
        <v>3712</v>
      </c>
      <c r="CX182" s="26" t="s">
        <v>167</v>
      </c>
      <c r="CY182" s="26" t="s">
        <v>196</v>
      </c>
      <c r="CZ182" s="26">
        <v>0</v>
      </c>
      <c r="DB182" s="26">
        <v>0</v>
      </c>
      <c r="DK182" s="26" t="s">
        <v>150</v>
      </c>
      <c r="DL182" s="26" t="s">
        <v>1014</v>
      </c>
      <c r="DM182" s="26" t="s">
        <v>3713</v>
      </c>
      <c r="DN182" s="26" t="s">
        <v>3714</v>
      </c>
      <c r="DO182" s="26" t="s">
        <v>3715</v>
      </c>
      <c r="DP182" s="26" t="s">
        <v>3716</v>
      </c>
      <c r="DR182" s="26" t="s">
        <v>189</v>
      </c>
      <c r="DS182" s="26" t="s">
        <v>189</v>
      </c>
      <c r="DT182" s="26" t="s">
        <v>189</v>
      </c>
      <c r="DU182" s="26" t="s">
        <v>189</v>
      </c>
      <c r="DV182" s="26" t="s">
        <v>203</v>
      </c>
      <c r="DW182" s="26" t="s">
        <v>162</v>
      </c>
      <c r="DX182" s="26" t="s">
        <v>162</v>
      </c>
      <c r="DY182" s="26">
        <v>0</v>
      </c>
      <c r="DZ182" s="26" t="s">
        <v>150</v>
      </c>
      <c r="EA182" s="26" t="s">
        <v>534</v>
      </c>
      <c r="EB182" s="26" t="s">
        <v>547</v>
      </c>
      <c r="EH182" s="26" t="s">
        <v>189</v>
      </c>
      <c r="EI182" s="26">
        <v>0.16</v>
      </c>
      <c r="EJ182" s="26">
        <v>22.0848</v>
      </c>
      <c r="EK182" s="26">
        <v>30.66</v>
      </c>
      <c r="EL182" s="26" t="s">
        <v>3717</v>
      </c>
      <c r="EM182" s="26" t="s">
        <v>206</v>
      </c>
      <c r="EN182" s="26" t="s">
        <v>207</v>
      </c>
    </row>
    <row r="183" spans="1:144">
      <c r="A183" s="26" t="s">
        <v>145</v>
      </c>
      <c r="B183" s="26" t="s">
        <v>763</v>
      </c>
      <c r="C183" s="26" t="s">
        <v>3692</v>
      </c>
      <c r="D183" s="26" t="s">
        <v>148</v>
      </c>
      <c r="E183" s="26" t="s">
        <v>149</v>
      </c>
      <c r="F183" s="26" t="s">
        <v>152</v>
      </c>
      <c r="G183" s="26" t="s">
        <v>151</v>
      </c>
      <c r="H183" s="26" t="s">
        <v>152</v>
      </c>
      <c r="I183" s="26" t="s">
        <v>153</v>
      </c>
      <c r="J183" s="26" t="s">
        <v>154</v>
      </c>
      <c r="K183" s="26" t="s">
        <v>474</v>
      </c>
      <c r="L183" s="26" t="s">
        <v>3693</v>
      </c>
      <c r="M183" s="26" t="s">
        <v>3694</v>
      </c>
      <c r="O183" s="26" t="s">
        <v>3718</v>
      </c>
      <c r="P183" s="26" t="s">
        <v>3719</v>
      </c>
      <c r="S183" s="26" t="s">
        <v>1459</v>
      </c>
      <c r="T183" s="26">
        <v>128.584156</v>
      </c>
      <c r="U183" s="26" t="s">
        <v>217</v>
      </c>
      <c r="V183" s="26" t="s">
        <v>150</v>
      </c>
      <c r="Y183" s="26" t="s">
        <v>3699</v>
      </c>
      <c r="Z183" s="26">
        <v>21.9168202</v>
      </c>
      <c r="AA183" s="26">
        <v>0</v>
      </c>
      <c r="AB183" s="26">
        <v>0</v>
      </c>
      <c r="AC183" s="26">
        <v>25</v>
      </c>
      <c r="AD183" s="26" t="s">
        <v>3720</v>
      </c>
      <c r="AE183" s="26" t="s">
        <v>3721</v>
      </c>
      <c r="AF183" s="26" t="s">
        <v>3721</v>
      </c>
      <c r="AG183" s="26" t="s">
        <v>3722</v>
      </c>
      <c r="AI183" s="26" t="s">
        <v>167</v>
      </c>
      <c r="AJ183" s="26" t="s">
        <v>168</v>
      </c>
      <c r="AK183" s="26" t="s">
        <v>169</v>
      </c>
      <c r="AM183" s="26" t="s">
        <v>1635</v>
      </c>
      <c r="AN183" s="26" t="s">
        <v>172</v>
      </c>
      <c r="AO183" s="26" t="s">
        <v>3723</v>
      </c>
      <c r="AP183" s="26" t="s">
        <v>162</v>
      </c>
      <c r="AQ183" s="26" t="s">
        <v>3704</v>
      </c>
      <c r="AR183" s="26" t="s">
        <v>3705</v>
      </c>
      <c r="AS183" s="26" t="s">
        <v>909</v>
      </c>
      <c r="AT183" s="26" t="s">
        <v>534</v>
      </c>
      <c r="AU183" s="26" t="s">
        <v>3706</v>
      </c>
      <c r="AV183" s="26" t="s">
        <v>3706</v>
      </c>
      <c r="AX183" s="26" t="s">
        <v>3707</v>
      </c>
      <c r="AY183" s="26" t="s">
        <v>179</v>
      </c>
      <c r="BC183" s="26" t="s">
        <v>3692</v>
      </c>
      <c r="BD183" s="26" t="s">
        <v>180</v>
      </c>
      <c r="BE183" s="26" t="s">
        <v>181</v>
      </c>
      <c r="BF183" s="26" t="s">
        <v>195</v>
      </c>
      <c r="BH183" s="26" t="s">
        <v>1902</v>
      </c>
      <c r="BI183" s="26" t="s">
        <v>182</v>
      </c>
      <c r="BJ183" s="26" t="s">
        <v>3708</v>
      </c>
      <c r="BK183" s="26" t="s">
        <v>302</v>
      </c>
      <c r="BL183" s="26" t="s">
        <v>185</v>
      </c>
      <c r="BM183" s="26" t="s">
        <v>186</v>
      </c>
      <c r="BN183" s="26" t="s">
        <v>162</v>
      </c>
      <c r="BP183" s="26">
        <v>0</v>
      </c>
      <c r="BR183" s="26" t="s">
        <v>801</v>
      </c>
      <c r="BS183" s="26" t="s">
        <v>354</v>
      </c>
      <c r="BT183" s="26" t="s">
        <v>185</v>
      </c>
      <c r="BV183" s="26">
        <v>21.56</v>
      </c>
      <c r="BW183" s="26">
        <v>0.16</v>
      </c>
      <c r="BZ183" s="26">
        <v>0</v>
      </c>
      <c r="CA183" s="26" t="s">
        <v>189</v>
      </c>
      <c r="CC183" s="26" t="s">
        <v>162</v>
      </c>
      <c r="CD183" s="26">
        <v>0</v>
      </c>
      <c r="CE183" s="26" t="s">
        <v>190</v>
      </c>
      <c r="CF183" s="26" t="s">
        <v>167</v>
      </c>
      <c r="CG183" s="26" t="s">
        <v>3724</v>
      </c>
      <c r="CI183" s="26" t="s">
        <v>496</v>
      </c>
      <c r="CJ183" s="26">
        <v>134.75</v>
      </c>
      <c r="CK183" s="26">
        <v>0</v>
      </c>
      <c r="CL183" s="26">
        <v>6.74</v>
      </c>
      <c r="CM183" s="26">
        <v>30.75</v>
      </c>
      <c r="CQ183" s="26" t="s">
        <v>605</v>
      </c>
      <c r="CR183" s="26" t="s">
        <v>3710</v>
      </c>
      <c r="CS183" s="26" t="s">
        <v>3711</v>
      </c>
      <c r="CW183" s="26" t="s">
        <v>3725</v>
      </c>
      <c r="CX183" s="26" t="s">
        <v>167</v>
      </c>
      <c r="CY183" s="26" t="s">
        <v>196</v>
      </c>
      <c r="CZ183" s="26">
        <v>0</v>
      </c>
      <c r="DB183" s="26">
        <v>0</v>
      </c>
      <c r="DK183" s="26" t="s">
        <v>150</v>
      </c>
      <c r="DL183" s="26" t="s">
        <v>1014</v>
      </c>
      <c r="DM183" s="26" t="s">
        <v>3713</v>
      </c>
      <c r="DN183" s="26" t="s">
        <v>3714</v>
      </c>
      <c r="DO183" s="26" t="s">
        <v>3715</v>
      </c>
      <c r="DP183" s="26" t="s">
        <v>3716</v>
      </c>
      <c r="DR183" s="26" t="s">
        <v>189</v>
      </c>
      <c r="DS183" s="26" t="s">
        <v>189</v>
      </c>
      <c r="DT183" s="26" t="s">
        <v>189</v>
      </c>
      <c r="DU183" s="26" t="s">
        <v>189</v>
      </c>
      <c r="DV183" s="26" t="s">
        <v>203</v>
      </c>
      <c r="DW183" s="26" t="s">
        <v>162</v>
      </c>
      <c r="DX183" s="26" t="s">
        <v>162</v>
      </c>
      <c r="DY183" s="26">
        <v>0</v>
      </c>
      <c r="DZ183" s="26" t="s">
        <v>150</v>
      </c>
      <c r="EA183" s="26" t="s">
        <v>534</v>
      </c>
      <c r="EB183" s="26" t="s">
        <v>547</v>
      </c>
      <c r="EH183" s="26" t="s">
        <v>189</v>
      </c>
      <c r="EI183" s="26">
        <v>0.16</v>
      </c>
      <c r="EJ183" s="26">
        <v>21.56</v>
      </c>
      <c r="EK183" s="26">
        <v>30.75</v>
      </c>
      <c r="EL183" s="26" t="s">
        <v>3726</v>
      </c>
      <c r="EM183" s="26" t="s">
        <v>206</v>
      </c>
      <c r="EN183" s="26" t="s">
        <v>207</v>
      </c>
    </row>
    <row r="184" spans="1:144">
      <c r="A184" s="26" t="s">
        <v>145</v>
      </c>
      <c r="B184" s="26" t="s">
        <v>763</v>
      </c>
      <c r="C184" s="26" t="s">
        <v>3692</v>
      </c>
      <c r="D184" s="26" t="s">
        <v>148</v>
      </c>
      <c r="E184" s="26" t="s">
        <v>149</v>
      </c>
      <c r="F184" s="26" t="s">
        <v>152</v>
      </c>
      <c r="G184" s="26" t="s">
        <v>151</v>
      </c>
      <c r="H184" s="26" t="s">
        <v>152</v>
      </c>
      <c r="I184" s="26" t="s">
        <v>153</v>
      </c>
      <c r="J184" s="26" t="s">
        <v>154</v>
      </c>
      <c r="K184" s="26" t="s">
        <v>2343</v>
      </c>
      <c r="L184" s="26" t="s">
        <v>3346</v>
      </c>
      <c r="M184" s="26" t="s">
        <v>3694</v>
      </c>
      <c r="O184" s="26" t="s">
        <v>3727</v>
      </c>
      <c r="P184" s="26" t="s">
        <v>3728</v>
      </c>
      <c r="S184" s="26" t="s">
        <v>3332</v>
      </c>
      <c r="T184" s="26">
        <v>159.395056</v>
      </c>
      <c r="U184" s="26" t="s">
        <v>217</v>
      </c>
      <c r="V184" s="26" t="s">
        <v>150</v>
      </c>
      <c r="Y184" s="26" t="s">
        <v>3699</v>
      </c>
      <c r="Z184" s="26">
        <v>21.9168202</v>
      </c>
      <c r="AA184" s="26">
        <v>0</v>
      </c>
      <c r="AB184" s="26">
        <v>0</v>
      </c>
      <c r="AC184" s="26">
        <v>20.5</v>
      </c>
      <c r="AD184" s="26" t="s">
        <v>3729</v>
      </c>
      <c r="AE184" s="26" t="s">
        <v>3729</v>
      </c>
      <c r="AF184" s="26" t="s">
        <v>3729</v>
      </c>
      <c r="AG184" s="26" t="s">
        <v>3730</v>
      </c>
      <c r="AI184" s="26" t="s">
        <v>167</v>
      </c>
      <c r="AJ184" s="26" t="s">
        <v>168</v>
      </c>
      <c r="AK184" s="26" t="s">
        <v>169</v>
      </c>
      <c r="AM184" s="26" t="s">
        <v>2913</v>
      </c>
      <c r="AN184" s="26" t="s">
        <v>172</v>
      </c>
      <c r="AO184" s="26" t="s">
        <v>3731</v>
      </c>
      <c r="AP184" s="26" t="s">
        <v>162</v>
      </c>
      <c r="AQ184" s="26" t="s">
        <v>3704</v>
      </c>
      <c r="AR184" s="26" t="s">
        <v>3705</v>
      </c>
      <c r="AS184" s="26" t="s">
        <v>2902</v>
      </c>
      <c r="AT184" s="26" t="s">
        <v>3732</v>
      </c>
      <c r="AU184" s="26" t="s">
        <v>3706</v>
      </c>
      <c r="AV184" s="26" t="s">
        <v>3706</v>
      </c>
      <c r="AX184" s="26" t="s">
        <v>3733</v>
      </c>
      <c r="AY184" s="26" t="s">
        <v>179</v>
      </c>
      <c r="BC184" s="26" t="s">
        <v>3692</v>
      </c>
      <c r="BD184" s="26" t="s">
        <v>180</v>
      </c>
      <c r="BE184" s="26" t="s">
        <v>1007</v>
      </c>
      <c r="BF184" s="26" t="s">
        <v>195</v>
      </c>
      <c r="BH184" s="26" t="s">
        <v>1902</v>
      </c>
      <c r="BI184" s="26" t="s">
        <v>182</v>
      </c>
      <c r="BJ184" s="26" t="s">
        <v>480</v>
      </c>
      <c r="BK184" s="26" t="s">
        <v>302</v>
      </c>
      <c r="BL184" s="26" t="s">
        <v>185</v>
      </c>
      <c r="BM184" s="26" t="s">
        <v>186</v>
      </c>
      <c r="BN184" s="26" t="s">
        <v>162</v>
      </c>
      <c r="BP184" s="26">
        <v>0</v>
      </c>
      <c r="BQ184" s="26" t="s">
        <v>3734</v>
      </c>
      <c r="BS184" s="26" t="s">
        <v>354</v>
      </c>
      <c r="BT184" s="26" t="s">
        <v>185</v>
      </c>
      <c r="BV184" s="26">
        <v>9.1058</v>
      </c>
      <c r="BW184" s="26">
        <v>0.055</v>
      </c>
      <c r="BZ184" s="26">
        <v>0</v>
      </c>
      <c r="CA184" s="26" t="s">
        <v>189</v>
      </c>
      <c r="CC184" s="26" t="s">
        <v>162</v>
      </c>
      <c r="CD184" s="26">
        <v>0</v>
      </c>
      <c r="CE184" s="26" t="s">
        <v>190</v>
      </c>
      <c r="CF184" s="26" t="s">
        <v>195</v>
      </c>
      <c r="CG184" s="26" t="s">
        <v>3735</v>
      </c>
      <c r="CI184" s="26" t="s">
        <v>2359</v>
      </c>
      <c r="CJ184" s="26">
        <v>165.56</v>
      </c>
      <c r="CK184" s="26">
        <v>0</v>
      </c>
      <c r="CL184" s="26">
        <v>8.28</v>
      </c>
      <c r="CM184" s="26">
        <v>68.07</v>
      </c>
      <c r="CQ184" s="26" t="s">
        <v>192</v>
      </c>
      <c r="CR184" s="26" t="s">
        <v>3710</v>
      </c>
      <c r="CS184" s="26" t="s">
        <v>3711</v>
      </c>
      <c r="CW184" s="26" t="s">
        <v>3736</v>
      </c>
      <c r="CX184" s="26" t="s">
        <v>167</v>
      </c>
      <c r="CY184" s="26" t="s">
        <v>196</v>
      </c>
      <c r="CZ184" s="26">
        <v>0</v>
      </c>
      <c r="DB184" s="26">
        <v>0</v>
      </c>
      <c r="DK184" s="26" t="s">
        <v>150</v>
      </c>
      <c r="DL184" s="26" t="s">
        <v>1014</v>
      </c>
      <c r="DM184" s="26" t="s">
        <v>3713</v>
      </c>
      <c r="DN184" s="26" t="s">
        <v>3714</v>
      </c>
      <c r="DO184" s="26" t="s">
        <v>3715</v>
      </c>
      <c r="DP184" s="26" t="s">
        <v>3716</v>
      </c>
      <c r="DR184" s="26" t="s">
        <v>189</v>
      </c>
      <c r="DS184" s="26" t="s">
        <v>189</v>
      </c>
      <c r="DT184" s="26" t="s">
        <v>189</v>
      </c>
      <c r="DU184" s="26" t="s">
        <v>189</v>
      </c>
      <c r="DV184" s="26" t="s">
        <v>203</v>
      </c>
      <c r="DW184" s="26" t="s">
        <v>162</v>
      </c>
      <c r="DX184" s="26" t="s">
        <v>162</v>
      </c>
      <c r="DY184" s="26">
        <v>0</v>
      </c>
      <c r="DZ184" s="26" t="s">
        <v>150</v>
      </c>
      <c r="EH184" s="26" t="s">
        <v>189</v>
      </c>
      <c r="EI184" s="26">
        <v>0.055</v>
      </c>
      <c r="EJ184" s="26">
        <v>9.1058</v>
      </c>
      <c r="EK184" s="26">
        <v>68.07</v>
      </c>
      <c r="EL184" s="26" t="s">
        <v>3737</v>
      </c>
      <c r="EM184" s="26" t="s">
        <v>206</v>
      </c>
      <c r="EN184" s="26" t="s">
        <v>207</v>
      </c>
    </row>
    <row r="185" spans="1:144">
      <c r="A185" s="26" t="s">
        <v>145</v>
      </c>
      <c r="B185" s="26" t="s">
        <v>763</v>
      </c>
      <c r="C185" s="26" t="s">
        <v>3738</v>
      </c>
      <c r="D185" s="26" t="s">
        <v>148</v>
      </c>
      <c r="E185" s="26" t="s">
        <v>149</v>
      </c>
      <c r="F185" s="26" t="s">
        <v>152</v>
      </c>
      <c r="G185" s="26" t="s">
        <v>151</v>
      </c>
      <c r="H185" s="26" t="s">
        <v>152</v>
      </c>
      <c r="I185" s="26" t="s">
        <v>153</v>
      </c>
      <c r="J185" s="26" t="s">
        <v>154</v>
      </c>
      <c r="K185" s="26" t="s">
        <v>1075</v>
      </c>
      <c r="L185" s="26" t="s">
        <v>2426</v>
      </c>
      <c r="M185" s="26" t="s">
        <v>3739</v>
      </c>
      <c r="N185" s="26" t="s">
        <v>3740</v>
      </c>
      <c r="O185" s="26" t="s">
        <v>3741</v>
      </c>
      <c r="P185" s="26" t="s">
        <v>3742</v>
      </c>
      <c r="Q185" s="26" t="s">
        <v>1802</v>
      </c>
      <c r="R185" s="26">
        <v>137.211208</v>
      </c>
      <c r="S185" s="26" t="s">
        <v>3743</v>
      </c>
      <c r="T185" s="26">
        <v>131.049028</v>
      </c>
      <c r="U185" s="26" t="s">
        <v>217</v>
      </c>
      <c r="V185" s="26" t="s">
        <v>150</v>
      </c>
      <c r="Y185" s="26" t="s">
        <v>3744</v>
      </c>
      <c r="Z185" s="26">
        <v>20.5816812</v>
      </c>
      <c r="AA185" s="26">
        <v>0</v>
      </c>
      <c r="AB185" s="26">
        <v>0</v>
      </c>
      <c r="AC185" s="26">
        <v>33.9</v>
      </c>
      <c r="AD185" s="26" t="s">
        <v>3745</v>
      </c>
      <c r="AE185" s="26" t="s">
        <v>3745</v>
      </c>
      <c r="AF185" s="26" t="s">
        <v>3745</v>
      </c>
      <c r="AG185" s="26" t="s">
        <v>3746</v>
      </c>
      <c r="AI185" s="26" t="s">
        <v>167</v>
      </c>
      <c r="AJ185" s="26" t="s">
        <v>168</v>
      </c>
      <c r="AK185" s="26" t="s">
        <v>169</v>
      </c>
      <c r="AL185" s="26" t="s">
        <v>2121</v>
      </c>
      <c r="AM185" s="26" t="s">
        <v>1106</v>
      </c>
      <c r="AN185" s="26" t="s">
        <v>172</v>
      </c>
      <c r="AO185" s="26" t="s">
        <v>3085</v>
      </c>
      <c r="AP185" s="26" t="s">
        <v>162</v>
      </c>
      <c r="AQ185" s="26" t="s">
        <v>3747</v>
      </c>
      <c r="AR185" s="26" t="s">
        <v>3748</v>
      </c>
      <c r="AS185" s="26" t="s">
        <v>3749</v>
      </c>
      <c r="AU185" s="26" t="s">
        <v>3750</v>
      </c>
      <c r="AV185" s="26" t="s">
        <v>3750</v>
      </c>
      <c r="AX185" s="26" t="s">
        <v>3751</v>
      </c>
      <c r="AY185" s="26" t="s">
        <v>179</v>
      </c>
      <c r="BC185" s="26" t="s">
        <v>3738</v>
      </c>
      <c r="BD185" s="26" t="s">
        <v>180</v>
      </c>
      <c r="BE185" s="26" t="s">
        <v>1007</v>
      </c>
      <c r="BF185" s="26" t="s">
        <v>167</v>
      </c>
      <c r="BH185" s="26" t="s">
        <v>162</v>
      </c>
      <c r="BI185" s="26" t="s">
        <v>182</v>
      </c>
      <c r="BJ185" s="26" t="s">
        <v>3752</v>
      </c>
      <c r="BK185" s="26" t="s">
        <v>184</v>
      </c>
      <c r="BL185" s="26" t="s">
        <v>185</v>
      </c>
      <c r="BM185" s="26" t="s">
        <v>186</v>
      </c>
      <c r="BN185" s="26" t="s">
        <v>162</v>
      </c>
      <c r="BP185" s="26">
        <v>0</v>
      </c>
      <c r="BQ185" s="26" t="s">
        <v>494</v>
      </c>
      <c r="BS185" s="26" t="s">
        <v>230</v>
      </c>
      <c r="BT185" s="26" t="s">
        <v>185</v>
      </c>
      <c r="BV185" s="26">
        <v>19.2094</v>
      </c>
      <c r="BW185" s="26">
        <v>0.14</v>
      </c>
      <c r="BZ185" s="26">
        <v>0</v>
      </c>
      <c r="CA185" s="26" t="s">
        <v>189</v>
      </c>
      <c r="CC185" s="26" t="s">
        <v>162</v>
      </c>
      <c r="CD185" s="26">
        <v>0</v>
      </c>
      <c r="CE185" s="26" t="s">
        <v>190</v>
      </c>
      <c r="CF185" s="26" t="s">
        <v>167</v>
      </c>
      <c r="CG185" s="26" t="s">
        <v>3753</v>
      </c>
      <c r="CI185" s="26" t="s">
        <v>1095</v>
      </c>
      <c r="CJ185" s="26">
        <v>137.21</v>
      </c>
      <c r="CK185" s="26">
        <v>0</v>
      </c>
      <c r="CL185" s="26">
        <v>6.86</v>
      </c>
      <c r="CM185" s="26">
        <v>24.51</v>
      </c>
      <c r="CQ185" s="26" t="s">
        <v>437</v>
      </c>
      <c r="CR185" s="26" t="s">
        <v>2444</v>
      </c>
      <c r="CS185" s="26" t="s">
        <v>3754</v>
      </c>
      <c r="CW185" s="26" t="s">
        <v>3755</v>
      </c>
      <c r="CX185" s="26" t="s">
        <v>195</v>
      </c>
      <c r="CY185" s="26" t="s">
        <v>196</v>
      </c>
      <c r="CZ185" s="26">
        <v>0</v>
      </c>
      <c r="DB185" s="26">
        <v>0</v>
      </c>
      <c r="DK185" s="26" t="s">
        <v>150</v>
      </c>
      <c r="DL185" s="26" t="s">
        <v>581</v>
      </c>
      <c r="DM185" s="26" t="s">
        <v>3756</v>
      </c>
      <c r="DN185" s="26" t="s">
        <v>3757</v>
      </c>
      <c r="DO185" s="26" t="s">
        <v>3758</v>
      </c>
      <c r="DP185" s="26" t="s">
        <v>3759</v>
      </c>
      <c r="DR185" s="26" t="s">
        <v>189</v>
      </c>
      <c r="DS185" s="26" t="s">
        <v>189</v>
      </c>
      <c r="DT185" s="26" t="s">
        <v>189</v>
      </c>
      <c r="DU185" s="26" t="s">
        <v>189</v>
      </c>
      <c r="DV185" s="26" t="s">
        <v>203</v>
      </c>
      <c r="DW185" s="26" t="s">
        <v>162</v>
      </c>
      <c r="DX185" s="26" t="s">
        <v>162</v>
      </c>
      <c r="DY185" s="26">
        <v>0</v>
      </c>
      <c r="DZ185" s="26" t="s">
        <v>150</v>
      </c>
      <c r="EH185" s="26" t="s">
        <v>189</v>
      </c>
      <c r="EI185" s="26">
        <v>0.14</v>
      </c>
      <c r="EJ185" s="26">
        <v>19.2094</v>
      </c>
      <c r="EK185" s="26">
        <v>24.51</v>
      </c>
      <c r="EL185" s="26" t="s">
        <v>3760</v>
      </c>
      <c r="EM185" s="26" t="s">
        <v>206</v>
      </c>
      <c r="EN185" s="26" t="s">
        <v>207</v>
      </c>
    </row>
    <row r="186" spans="1:144">
      <c r="A186" s="26" t="s">
        <v>145</v>
      </c>
      <c r="B186" s="26" t="s">
        <v>763</v>
      </c>
      <c r="C186" s="26" t="s">
        <v>3761</v>
      </c>
      <c r="D186" s="26" t="s">
        <v>148</v>
      </c>
      <c r="E186" s="26" t="s">
        <v>149</v>
      </c>
      <c r="F186" s="26" t="s">
        <v>152</v>
      </c>
      <c r="G186" s="26" t="s">
        <v>151</v>
      </c>
      <c r="H186" s="26" t="s">
        <v>152</v>
      </c>
      <c r="I186" s="26" t="s">
        <v>153</v>
      </c>
      <c r="J186" s="26" t="s">
        <v>154</v>
      </c>
      <c r="K186" s="26" t="s">
        <v>244</v>
      </c>
      <c r="L186" s="26" t="s">
        <v>2011</v>
      </c>
      <c r="M186" s="26" t="s">
        <v>3762</v>
      </c>
      <c r="N186" s="26" t="s">
        <v>3763</v>
      </c>
      <c r="O186" s="26" t="s">
        <v>3764</v>
      </c>
      <c r="P186" s="26" t="s">
        <v>3765</v>
      </c>
      <c r="Q186" s="26" t="s">
        <v>2021</v>
      </c>
      <c r="R186" s="26">
        <v>476.54192</v>
      </c>
      <c r="S186" s="26" t="s">
        <v>3766</v>
      </c>
      <c r="T186" s="26">
        <v>232.10878</v>
      </c>
      <c r="U186" s="26" t="s">
        <v>162</v>
      </c>
      <c r="V186" s="26" t="s">
        <v>150</v>
      </c>
      <c r="Y186" s="26" t="s">
        <v>3767</v>
      </c>
      <c r="Z186" s="26">
        <v>35.740644</v>
      </c>
      <c r="AA186" s="26">
        <v>0</v>
      </c>
      <c r="AB186" s="26">
        <v>0</v>
      </c>
      <c r="AC186" s="26">
        <v>45</v>
      </c>
      <c r="AD186" s="26" t="s">
        <v>2112</v>
      </c>
      <c r="AE186" s="26" t="s">
        <v>2112</v>
      </c>
      <c r="AF186" s="26">
        <v>48</v>
      </c>
      <c r="AG186" s="26" t="s">
        <v>3768</v>
      </c>
      <c r="AI186" s="26" t="s">
        <v>167</v>
      </c>
      <c r="AJ186" s="26" t="s">
        <v>797</v>
      </c>
      <c r="AK186" s="26" t="s">
        <v>798</v>
      </c>
      <c r="AL186" s="26" t="s">
        <v>162</v>
      </c>
      <c r="AM186" s="26" t="s">
        <v>3769</v>
      </c>
      <c r="AN186" s="26" t="s">
        <v>172</v>
      </c>
      <c r="AO186" s="26" t="s">
        <v>3770</v>
      </c>
      <c r="AP186" s="26" t="s">
        <v>162</v>
      </c>
      <c r="AQ186" s="26" t="s">
        <v>3771</v>
      </c>
      <c r="AS186" s="26" t="s">
        <v>298</v>
      </c>
      <c r="AU186" s="26" t="s">
        <v>3772</v>
      </c>
      <c r="AV186" s="26" t="s">
        <v>150</v>
      </c>
      <c r="AX186" s="26" t="s">
        <v>3773</v>
      </c>
      <c r="AY186" s="26" t="s">
        <v>2335</v>
      </c>
      <c r="BC186" s="26" t="s">
        <v>3761</v>
      </c>
      <c r="BD186" s="26" t="s">
        <v>180</v>
      </c>
      <c r="BE186" s="26" t="s">
        <v>181</v>
      </c>
      <c r="BF186" s="26" t="s">
        <v>167</v>
      </c>
      <c r="BH186" s="26" t="s">
        <v>162</v>
      </c>
      <c r="BI186" s="26" t="s">
        <v>807</v>
      </c>
      <c r="BK186" s="26" t="s">
        <v>264</v>
      </c>
      <c r="BL186" s="26" t="s">
        <v>185</v>
      </c>
      <c r="BM186" s="26" t="s">
        <v>186</v>
      </c>
      <c r="BN186" s="26" t="s">
        <v>162</v>
      </c>
      <c r="BP186" s="26">
        <v>15</v>
      </c>
      <c r="BQ186" s="26" t="s">
        <v>776</v>
      </c>
      <c r="BS186" s="26" t="s">
        <v>354</v>
      </c>
      <c r="BT186" s="26" t="s">
        <v>185</v>
      </c>
      <c r="BV186" s="26">
        <v>38.1232</v>
      </c>
      <c r="BW186" s="26">
        <v>0.16</v>
      </c>
      <c r="BZ186" s="26" t="s">
        <v>167</v>
      </c>
      <c r="CA186" s="26" t="s">
        <v>189</v>
      </c>
      <c r="CC186" s="26" t="s">
        <v>162</v>
      </c>
      <c r="CD186" s="26">
        <v>0</v>
      </c>
      <c r="CE186" s="26" t="s">
        <v>190</v>
      </c>
      <c r="CF186" s="26" t="s">
        <v>195</v>
      </c>
      <c r="CG186" s="26" t="s">
        <v>3774</v>
      </c>
      <c r="CI186" s="26" t="s">
        <v>267</v>
      </c>
      <c r="CJ186" s="26">
        <v>238.27</v>
      </c>
      <c r="CK186" s="26">
        <v>0</v>
      </c>
      <c r="CL186" s="26">
        <v>11.91</v>
      </c>
      <c r="CM186" s="26">
        <v>55.19</v>
      </c>
      <c r="CQ186" s="26" t="s">
        <v>233</v>
      </c>
      <c r="CR186" s="26" t="s">
        <v>782</v>
      </c>
      <c r="CS186" s="26" t="s">
        <v>3775</v>
      </c>
      <c r="CW186" s="26" t="s">
        <v>3776</v>
      </c>
      <c r="CX186" s="26" t="s">
        <v>162</v>
      </c>
      <c r="CY186" s="26" t="s">
        <v>196</v>
      </c>
      <c r="CZ186" s="26">
        <v>0</v>
      </c>
      <c r="DB186" s="26">
        <v>0</v>
      </c>
      <c r="DK186" s="26" t="s">
        <v>150</v>
      </c>
      <c r="DL186" s="26" t="s">
        <v>390</v>
      </c>
      <c r="DM186" s="26" t="s">
        <v>3777</v>
      </c>
      <c r="DO186" s="26" t="s">
        <v>3778</v>
      </c>
      <c r="DR186" s="26" t="s">
        <v>189</v>
      </c>
      <c r="DS186" s="26" t="s">
        <v>189</v>
      </c>
      <c r="DT186" s="26" t="s">
        <v>189</v>
      </c>
      <c r="DU186" s="26" t="s">
        <v>189</v>
      </c>
      <c r="DV186" s="26" t="s">
        <v>203</v>
      </c>
      <c r="DW186" s="26" t="s">
        <v>162</v>
      </c>
      <c r="DX186" s="26" t="s">
        <v>162</v>
      </c>
      <c r="DY186" s="26">
        <v>0</v>
      </c>
      <c r="DZ186" s="26" t="s">
        <v>150</v>
      </c>
      <c r="EH186" s="26" t="s">
        <v>189</v>
      </c>
      <c r="EI186" s="26">
        <v>0.16</v>
      </c>
      <c r="EJ186" s="26">
        <v>38.1232</v>
      </c>
      <c r="EK186" s="26">
        <v>55.19</v>
      </c>
      <c r="EL186" s="26" t="s">
        <v>3779</v>
      </c>
      <c r="EM186" s="26" t="s">
        <v>206</v>
      </c>
      <c r="EN186" s="26" t="s">
        <v>207</v>
      </c>
    </row>
    <row r="187" spans="1:144">
      <c r="A187" s="26" t="s">
        <v>145</v>
      </c>
      <c r="B187" s="26" t="s">
        <v>763</v>
      </c>
      <c r="C187" s="26" t="s">
        <v>3761</v>
      </c>
      <c r="D187" s="26" t="s">
        <v>148</v>
      </c>
      <c r="E187" s="26" t="s">
        <v>149</v>
      </c>
      <c r="F187" s="26" t="s">
        <v>152</v>
      </c>
      <c r="G187" s="26" t="s">
        <v>151</v>
      </c>
      <c r="H187" s="26" t="s">
        <v>152</v>
      </c>
      <c r="I187" s="26" t="s">
        <v>153</v>
      </c>
      <c r="J187" s="26" t="s">
        <v>154</v>
      </c>
      <c r="K187" s="26" t="s">
        <v>244</v>
      </c>
      <c r="L187" s="26" t="s">
        <v>2011</v>
      </c>
      <c r="M187" s="26" t="s">
        <v>3762</v>
      </c>
      <c r="O187" s="26" t="s">
        <v>3780</v>
      </c>
      <c r="P187" s="26" t="s">
        <v>3781</v>
      </c>
      <c r="S187" s="26" t="s">
        <v>3766</v>
      </c>
      <c r="T187" s="26">
        <v>232.10878</v>
      </c>
      <c r="U187" s="26" t="s">
        <v>162</v>
      </c>
      <c r="V187" s="26" t="s">
        <v>150</v>
      </c>
      <c r="Y187" s="26" t="s">
        <v>3767</v>
      </c>
      <c r="Z187" s="26">
        <v>35.740644</v>
      </c>
      <c r="AA187" s="26">
        <v>0</v>
      </c>
      <c r="AB187" s="26">
        <v>0</v>
      </c>
      <c r="AC187" s="26">
        <v>45</v>
      </c>
      <c r="AD187" s="26" t="s">
        <v>2112</v>
      </c>
      <c r="AE187" s="26" t="s">
        <v>2112</v>
      </c>
      <c r="AF187" s="26">
        <v>48</v>
      </c>
      <c r="AG187" s="26" t="s">
        <v>3768</v>
      </c>
      <c r="AI187" s="26" t="s">
        <v>167</v>
      </c>
      <c r="AJ187" s="26" t="s">
        <v>797</v>
      </c>
      <c r="AK187" s="26" t="s">
        <v>798</v>
      </c>
      <c r="AM187" s="26" t="s">
        <v>3769</v>
      </c>
      <c r="AN187" s="26" t="s">
        <v>172</v>
      </c>
      <c r="AO187" s="26" t="s">
        <v>3770</v>
      </c>
      <c r="AP187" s="26" t="s">
        <v>162</v>
      </c>
      <c r="AQ187" s="26" t="s">
        <v>3771</v>
      </c>
      <c r="AS187" s="26" t="s">
        <v>298</v>
      </c>
      <c r="AU187" s="26" t="s">
        <v>3772</v>
      </c>
      <c r="AV187" s="26" t="s">
        <v>150</v>
      </c>
      <c r="AX187" s="26" t="s">
        <v>3773</v>
      </c>
      <c r="AY187" s="26" t="s">
        <v>2335</v>
      </c>
      <c r="BC187" s="26" t="s">
        <v>3761</v>
      </c>
      <c r="BD187" s="26" t="s">
        <v>180</v>
      </c>
      <c r="BE187" s="26" t="s">
        <v>181</v>
      </c>
      <c r="BF187" s="26" t="s">
        <v>167</v>
      </c>
      <c r="BH187" s="26" t="s">
        <v>162</v>
      </c>
      <c r="BI187" s="26" t="s">
        <v>807</v>
      </c>
      <c r="BK187" s="26" t="s">
        <v>264</v>
      </c>
      <c r="BL187" s="26" t="s">
        <v>185</v>
      </c>
      <c r="BM187" s="26" t="s">
        <v>186</v>
      </c>
      <c r="BN187" s="26" t="s">
        <v>162</v>
      </c>
      <c r="BP187" s="26">
        <v>15</v>
      </c>
      <c r="BQ187" s="26" t="s">
        <v>776</v>
      </c>
      <c r="BS187" s="26" t="s">
        <v>354</v>
      </c>
      <c r="BT187" s="26" t="s">
        <v>185</v>
      </c>
      <c r="BV187" s="26">
        <v>38.1232</v>
      </c>
      <c r="BW187" s="26">
        <v>0.16</v>
      </c>
      <c r="BZ187" s="26" t="s">
        <v>167</v>
      </c>
      <c r="CA187" s="26" t="s">
        <v>189</v>
      </c>
      <c r="CC187" s="26" t="s">
        <v>162</v>
      </c>
      <c r="CD187" s="26">
        <v>0</v>
      </c>
      <c r="CE187" s="26" t="s">
        <v>190</v>
      </c>
      <c r="CF187" s="26" t="s">
        <v>167</v>
      </c>
      <c r="CG187" s="26" t="s">
        <v>3782</v>
      </c>
      <c r="CI187" s="26" t="s">
        <v>267</v>
      </c>
      <c r="CJ187" s="26">
        <v>238.27</v>
      </c>
      <c r="CK187" s="26">
        <v>0</v>
      </c>
      <c r="CL187" s="26">
        <v>11.91</v>
      </c>
      <c r="CM187" s="26">
        <v>55.19</v>
      </c>
      <c r="CQ187" s="26" t="s">
        <v>233</v>
      </c>
      <c r="CR187" s="26" t="s">
        <v>782</v>
      </c>
      <c r="CS187" s="26" t="s">
        <v>3775</v>
      </c>
      <c r="CW187" s="26" t="s">
        <v>3776</v>
      </c>
      <c r="CX187" s="26" t="s">
        <v>162</v>
      </c>
      <c r="CY187" s="26" t="s">
        <v>196</v>
      </c>
      <c r="CZ187" s="26">
        <v>0</v>
      </c>
      <c r="DB187" s="26">
        <v>0</v>
      </c>
      <c r="DK187" s="26" t="s">
        <v>150</v>
      </c>
      <c r="DL187" s="26" t="s">
        <v>390</v>
      </c>
      <c r="DM187" s="26" t="s">
        <v>3777</v>
      </c>
      <c r="DO187" s="26" t="s">
        <v>3778</v>
      </c>
      <c r="DR187" s="26" t="s">
        <v>189</v>
      </c>
      <c r="DS187" s="26" t="s">
        <v>189</v>
      </c>
      <c r="DT187" s="26" t="s">
        <v>189</v>
      </c>
      <c r="DU187" s="26" t="s">
        <v>189</v>
      </c>
      <c r="DV187" s="26" t="s">
        <v>203</v>
      </c>
      <c r="DW187" s="26" t="s">
        <v>162</v>
      </c>
      <c r="DX187" s="26" t="s">
        <v>162</v>
      </c>
      <c r="DY187" s="26">
        <v>0</v>
      </c>
      <c r="DZ187" s="26" t="s">
        <v>150</v>
      </c>
      <c r="EH187" s="26" t="s">
        <v>189</v>
      </c>
      <c r="EI187" s="26">
        <v>0.16</v>
      </c>
      <c r="EJ187" s="26">
        <v>38.1232</v>
      </c>
      <c r="EK187" s="26">
        <v>55.19</v>
      </c>
      <c r="EL187" s="26" t="s">
        <v>3783</v>
      </c>
      <c r="EM187" s="26" t="s">
        <v>206</v>
      </c>
      <c r="EN187" s="26" t="s">
        <v>207</v>
      </c>
    </row>
    <row r="188" spans="1:144">
      <c r="A188" s="26" t="s">
        <v>145</v>
      </c>
      <c r="B188" s="26" t="s">
        <v>763</v>
      </c>
      <c r="C188" s="26" t="s">
        <v>3784</v>
      </c>
      <c r="D188" s="26" t="s">
        <v>148</v>
      </c>
      <c r="E188" s="26" t="s">
        <v>149</v>
      </c>
      <c r="F188" s="26" t="s">
        <v>152</v>
      </c>
      <c r="G188" s="26" t="s">
        <v>151</v>
      </c>
      <c r="H188" s="26" t="s">
        <v>152</v>
      </c>
      <c r="I188" s="26" t="s">
        <v>153</v>
      </c>
      <c r="J188" s="26" t="s">
        <v>154</v>
      </c>
      <c r="K188" s="26" t="s">
        <v>155</v>
      </c>
      <c r="L188" s="26" t="s">
        <v>313</v>
      </c>
      <c r="M188" s="26" t="s">
        <v>3785</v>
      </c>
      <c r="N188" s="26" t="s">
        <v>3786</v>
      </c>
      <c r="O188" s="26" t="s">
        <v>564</v>
      </c>
      <c r="P188" s="26" t="s">
        <v>565</v>
      </c>
      <c r="Q188" s="26" t="s">
        <v>1940</v>
      </c>
      <c r="R188" s="26">
        <v>128.994968</v>
      </c>
      <c r="S188" s="26" t="s">
        <v>3510</v>
      </c>
      <c r="T188" s="26">
        <v>122.832788</v>
      </c>
      <c r="U188" s="26" t="s">
        <v>217</v>
      </c>
      <c r="V188" s="26" t="s">
        <v>150</v>
      </c>
      <c r="Y188" s="26" t="s">
        <v>3787</v>
      </c>
      <c r="Z188" s="26">
        <v>19.3492452</v>
      </c>
      <c r="AA188" s="26">
        <v>0</v>
      </c>
      <c r="AB188" s="26">
        <v>0</v>
      </c>
      <c r="AC188" s="26">
        <v>15.5</v>
      </c>
      <c r="AD188" s="26" t="s">
        <v>568</v>
      </c>
      <c r="AE188" s="26" t="s">
        <v>568</v>
      </c>
      <c r="AF188" s="26" t="s">
        <v>568</v>
      </c>
      <c r="AG188" s="26" t="s">
        <v>3788</v>
      </c>
      <c r="AI188" s="26" t="s">
        <v>167</v>
      </c>
      <c r="AJ188" s="26" t="s">
        <v>168</v>
      </c>
      <c r="AK188" s="26" t="s">
        <v>169</v>
      </c>
      <c r="AL188" s="26" t="s">
        <v>2227</v>
      </c>
      <c r="AM188" s="26" t="s">
        <v>570</v>
      </c>
      <c r="AN188" s="26" t="s">
        <v>172</v>
      </c>
      <c r="AO188" s="26" t="s">
        <v>571</v>
      </c>
      <c r="AP188" s="26" t="s">
        <v>162</v>
      </c>
      <c r="AQ188" s="26" t="s">
        <v>3789</v>
      </c>
      <c r="AR188" s="26" t="s">
        <v>3790</v>
      </c>
      <c r="AS188" s="26" t="s">
        <v>433</v>
      </c>
      <c r="AU188" s="26" t="s">
        <v>3791</v>
      </c>
      <c r="AV188" s="26" t="s">
        <v>3791</v>
      </c>
      <c r="AX188" s="26" t="s">
        <v>575</v>
      </c>
      <c r="AY188" s="26" t="s">
        <v>179</v>
      </c>
      <c r="BC188" s="26" t="s">
        <v>3784</v>
      </c>
      <c r="BD188" s="26" t="s">
        <v>180</v>
      </c>
      <c r="BE188" s="26" t="s">
        <v>181</v>
      </c>
      <c r="BF188" s="26" t="s">
        <v>167</v>
      </c>
      <c r="BH188" s="26" t="s">
        <v>162</v>
      </c>
      <c r="BI188" s="26" t="s">
        <v>182</v>
      </c>
      <c r="BJ188" s="26" t="s">
        <v>1142</v>
      </c>
      <c r="BK188" s="26" t="s">
        <v>184</v>
      </c>
      <c r="BL188" s="26" t="s">
        <v>185</v>
      </c>
      <c r="BM188" s="26" t="s">
        <v>186</v>
      </c>
      <c r="BN188" s="26" t="s">
        <v>162</v>
      </c>
      <c r="BP188" s="26">
        <v>0</v>
      </c>
      <c r="BQ188" s="26" t="s">
        <v>466</v>
      </c>
      <c r="BS188" s="26" t="s">
        <v>230</v>
      </c>
      <c r="BT188" s="26" t="s">
        <v>185</v>
      </c>
      <c r="BV188" s="26">
        <v>20.6384</v>
      </c>
      <c r="BW188" s="26">
        <v>0.16</v>
      </c>
      <c r="BZ188" s="26">
        <v>0</v>
      </c>
      <c r="CA188" s="26" t="s">
        <v>189</v>
      </c>
      <c r="CC188" s="26" t="s">
        <v>162</v>
      </c>
      <c r="CD188" s="26">
        <v>0</v>
      </c>
      <c r="CE188" s="26" t="s">
        <v>190</v>
      </c>
      <c r="CF188" s="26" t="s">
        <v>167</v>
      </c>
      <c r="CG188" s="26" t="s">
        <v>3792</v>
      </c>
      <c r="CI188" s="26" t="s">
        <v>191</v>
      </c>
      <c r="CJ188" s="26">
        <v>128.99</v>
      </c>
      <c r="CK188" s="26">
        <v>0</v>
      </c>
      <c r="CL188" s="26">
        <v>6.45</v>
      </c>
      <c r="CM188" s="26">
        <v>19.97</v>
      </c>
      <c r="CQ188" s="26" t="s">
        <v>437</v>
      </c>
      <c r="CR188" s="26" t="s">
        <v>3793</v>
      </c>
      <c r="CS188" s="26" t="s">
        <v>3794</v>
      </c>
      <c r="CW188" s="26" t="s">
        <v>580</v>
      </c>
      <c r="CX188" s="26" t="s">
        <v>162</v>
      </c>
      <c r="CY188" s="26" t="s">
        <v>196</v>
      </c>
      <c r="CZ188" s="26">
        <v>0</v>
      </c>
      <c r="DB188" s="26">
        <v>0</v>
      </c>
      <c r="DK188" s="26" t="s">
        <v>150</v>
      </c>
      <c r="DL188" s="26" t="s">
        <v>581</v>
      </c>
      <c r="DM188" s="26" t="s">
        <v>3795</v>
      </c>
      <c r="DN188" s="26" t="s">
        <v>3796</v>
      </c>
      <c r="DO188" s="26" t="s">
        <v>3778</v>
      </c>
      <c r="DP188" s="26" t="s">
        <v>3797</v>
      </c>
      <c r="DR188" s="26" t="s">
        <v>189</v>
      </c>
      <c r="DS188" s="26" t="s">
        <v>189</v>
      </c>
      <c r="DT188" s="26" t="s">
        <v>189</v>
      </c>
      <c r="DU188" s="26" t="s">
        <v>189</v>
      </c>
      <c r="DV188" s="26" t="s">
        <v>203</v>
      </c>
      <c r="DW188" s="26" t="s">
        <v>162</v>
      </c>
      <c r="DX188" s="26" t="s">
        <v>162</v>
      </c>
      <c r="DY188" s="26">
        <v>0</v>
      </c>
      <c r="DZ188" s="26" t="s">
        <v>150</v>
      </c>
      <c r="EH188" s="26" t="s">
        <v>189</v>
      </c>
      <c r="EI188" s="26">
        <v>0.16</v>
      </c>
      <c r="EJ188" s="26">
        <v>20.6384</v>
      </c>
      <c r="EK188" s="26">
        <v>19.97</v>
      </c>
      <c r="EL188" s="26" t="s">
        <v>586</v>
      </c>
      <c r="EM188" s="26" t="s">
        <v>206</v>
      </c>
      <c r="EN188" s="26" t="s">
        <v>207</v>
      </c>
    </row>
    <row r="189" spans="1:144">
      <c r="A189" s="26" t="s">
        <v>145</v>
      </c>
      <c r="B189" s="26" t="s">
        <v>763</v>
      </c>
      <c r="C189" s="26" t="s">
        <v>3798</v>
      </c>
      <c r="D189" s="26" t="s">
        <v>148</v>
      </c>
      <c r="E189" s="26" t="s">
        <v>149</v>
      </c>
      <c r="F189" s="26" t="s">
        <v>152</v>
      </c>
      <c r="G189" s="26" t="s">
        <v>151</v>
      </c>
      <c r="H189" s="26" t="s">
        <v>152</v>
      </c>
      <c r="I189" s="26" t="s">
        <v>153</v>
      </c>
      <c r="J189" s="26" t="s">
        <v>154</v>
      </c>
      <c r="K189" s="26" t="s">
        <v>244</v>
      </c>
      <c r="L189" s="26" t="s">
        <v>245</v>
      </c>
      <c r="M189" s="26" t="s">
        <v>3799</v>
      </c>
      <c r="N189" s="26" t="s">
        <v>3800</v>
      </c>
      <c r="O189" s="26" t="s">
        <v>3801</v>
      </c>
      <c r="P189" s="26" t="s">
        <v>3802</v>
      </c>
      <c r="Q189" s="26" t="s">
        <v>1989</v>
      </c>
      <c r="R189" s="26">
        <v>126.940908</v>
      </c>
      <c r="S189" s="26" t="s">
        <v>3803</v>
      </c>
      <c r="T189" s="26">
        <v>120.778728</v>
      </c>
      <c r="U189" s="26" t="s">
        <v>217</v>
      </c>
      <c r="V189" s="26" t="s">
        <v>150</v>
      </c>
      <c r="Y189" s="26" t="s">
        <v>3804</v>
      </c>
      <c r="Z189" s="26">
        <v>19.0411362</v>
      </c>
      <c r="AA189" s="26">
        <v>0</v>
      </c>
      <c r="AB189" s="26">
        <v>0</v>
      </c>
      <c r="AC189" s="26">
        <v>16.5</v>
      </c>
      <c r="AD189" s="26" t="s">
        <v>3805</v>
      </c>
      <c r="AE189" s="26" t="s">
        <v>3805</v>
      </c>
      <c r="AF189" s="26" t="s">
        <v>3805</v>
      </c>
      <c r="AG189" s="26" t="s">
        <v>3806</v>
      </c>
      <c r="AH189" s="26" t="s">
        <v>3807</v>
      </c>
      <c r="AI189" s="26" t="s">
        <v>167</v>
      </c>
      <c r="AJ189" s="26" t="s">
        <v>168</v>
      </c>
      <c r="AK189" s="26" t="s">
        <v>169</v>
      </c>
      <c r="AL189" s="26" t="s">
        <v>862</v>
      </c>
      <c r="AM189" s="26" t="s">
        <v>1516</v>
      </c>
      <c r="AN189" s="26" t="s">
        <v>172</v>
      </c>
      <c r="AO189" s="26" t="s">
        <v>3505</v>
      </c>
      <c r="AP189" s="26" t="s">
        <v>162</v>
      </c>
      <c r="AQ189" s="26" t="s">
        <v>3405</v>
      </c>
      <c r="AR189" s="26" t="s">
        <v>3808</v>
      </c>
      <c r="AS189" s="26" t="s">
        <v>433</v>
      </c>
      <c r="AU189" s="26" t="s">
        <v>3809</v>
      </c>
      <c r="AV189" s="26" t="s">
        <v>3809</v>
      </c>
      <c r="AX189" s="26" t="s">
        <v>3810</v>
      </c>
      <c r="AY189" s="26" t="s">
        <v>179</v>
      </c>
      <c r="BC189" s="26" t="s">
        <v>3798</v>
      </c>
      <c r="BD189" s="26" t="s">
        <v>180</v>
      </c>
      <c r="BE189" s="26" t="s">
        <v>181</v>
      </c>
      <c r="BF189" s="26" t="s">
        <v>167</v>
      </c>
      <c r="BH189" s="26" t="s">
        <v>162</v>
      </c>
      <c r="BI189" s="26" t="s">
        <v>182</v>
      </c>
      <c r="BJ189" s="26" t="s">
        <v>3811</v>
      </c>
      <c r="BK189" s="26" t="s">
        <v>184</v>
      </c>
      <c r="BL189" s="26" t="s">
        <v>185</v>
      </c>
      <c r="BM189" s="26" t="s">
        <v>186</v>
      </c>
      <c r="BN189" s="26" t="s">
        <v>162</v>
      </c>
      <c r="BP189" s="26">
        <v>0</v>
      </c>
      <c r="BQ189" s="26" t="s">
        <v>466</v>
      </c>
      <c r="BS189" s="26" t="s">
        <v>230</v>
      </c>
      <c r="BT189" s="26" t="s">
        <v>185</v>
      </c>
      <c r="BV189" s="26">
        <v>20.3104</v>
      </c>
      <c r="BW189" s="26">
        <v>0.16</v>
      </c>
      <c r="BZ189" s="26">
        <v>0</v>
      </c>
      <c r="CA189" s="26" t="s">
        <v>189</v>
      </c>
      <c r="CC189" s="26" t="s">
        <v>162</v>
      </c>
      <c r="CD189" s="26">
        <v>0</v>
      </c>
      <c r="CE189" s="26" t="s">
        <v>190</v>
      </c>
      <c r="CF189" s="26" t="s">
        <v>167</v>
      </c>
      <c r="CG189" s="26" t="s">
        <v>3812</v>
      </c>
      <c r="CI189" s="26" t="s">
        <v>267</v>
      </c>
      <c r="CJ189" s="26">
        <v>126.94</v>
      </c>
      <c r="CK189" s="26">
        <v>0</v>
      </c>
      <c r="CL189" s="26">
        <v>6.35</v>
      </c>
      <c r="CM189" s="26">
        <v>8.15</v>
      </c>
      <c r="CQ189" s="26" t="s">
        <v>437</v>
      </c>
      <c r="CR189" s="26" t="s">
        <v>3813</v>
      </c>
      <c r="CS189" s="26" t="s">
        <v>3814</v>
      </c>
      <c r="CW189" s="26" t="s">
        <v>3815</v>
      </c>
      <c r="CX189" s="26" t="s">
        <v>435</v>
      </c>
      <c r="CY189" s="26" t="s">
        <v>196</v>
      </c>
      <c r="CZ189" s="26">
        <v>0</v>
      </c>
      <c r="DB189" s="26">
        <v>0</v>
      </c>
      <c r="DK189" s="26" t="s">
        <v>150</v>
      </c>
      <c r="DL189" s="26" t="s">
        <v>542</v>
      </c>
      <c r="DM189" s="26" t="s">
        <v>3816</v>
      </c>
      <c r="DN189" s="26" t="s">
        <v>3817</v>
      </c>
      <c r="DO189" s="26" t="s">
        <v>3818</v>
      </c>
      <c r="DP189" s="26" t="s">
        <v>3819</v>
      </c>
      <c r="DR189" s="26" t="s">
        <v>189</v>
      </c>
      <c r="DS189" s="26" t="s">
        <v>189</v>
      </c>
      <c r="DT189" s="26" t="s">
        <v>189</v>
      </c>
      <c r="DU189" s="26" t="s">
        <v>189</v>
      </c>
      <c r="DV189" s="26" t="s">
        <v>203</v>
      </c>
      <c r="DW189" s="26" t="s">
        <v>162</v>
      </c>
      <c r="DX189" s="26" t="s">
        <v>162</v>
      </c>
      <c r="DY189" s="26">
        <v>0</v>
      </c>
      <c r="DZ189" s="26" t="s">
        <v>150</v>
      </c>
      <c r="EH189" s="26" t="s">
        <v>189</v>
      </c>
      <c r="EI189" s="26">
        <v>0.16</v>
      </c>
      <c r="EJ189" s="26">
        <v>20.3104</v>
      </c>
      <c r="EK189" s="26">
        <v>8.15</v>
      </c>
      <c r="EL189" s="26" t="s">
        <v>3820</v>
      </c>
      <c r="EM189" s="26" t="s">
        <v>206</v>
      </c>
      <c r="EN189" s="26" t="s">
        <v>207</v>
      </c>
    </row>
    <row r="190" spans="1:144">
      <c r="A190" s="26" t="s">
        <v>145</v>
      </c>
      <c r="B190" s="26" t="s">
        <v>763</v>
      </c>
      <c r="C190" s="26" t="s">
        <v>3821</v>
      </c>
      <c r="D190" s="26" t="s">
        <v>148</v>
      </c>
      <c r="E190" s="26" t="s">
        <v>149</v>
      </c>
      <c r="F190" s="26" t="s">
        <v>152</v>
      </c>
      <c r="G190" s="26" t="s">
        <v>151</v>
      </c>
      <c r="H190" s="26" t="s">
        <v>152</v>
      </c>
      <c r="I190" s="26" t="s">
        <v>153</v>
      </c>
      <c r="J190" s="26" t="s">
        <v>154</v>
      </c>
      <c r="K190" s="26" t="s">
        <v>155</v>
      </c>
      <c r="L190" s="26" t="s">
        <v>3822</v>
      </c>
      <c r="M190" s="26" t="s">
        <v>3823</v>
      </c>
      <c r="N190" s="26" t="s">
        <v>3824</v>
      </c>
      <c r="O190" s="26" t="s">
        <v>3825</v>
      </c>
      <c r="P190" s="26" t="s">
        <v>3826</v>
      </c>
      <c r="Q190" s="26" t="s">
        <v>3827</v>
      </c>
      <c r="R190" s="26">
        <v>506.942008</v>
      </c>
      <c r="S190" s="26" t="s">
        <v>3828</v>
      </c>
      <c r="T190" s="26">
        <v>306.05494</v>
      </c>
      <c r="U190" s="26" t="s">
        <v>217</v>
      </c>
      <c r="V190" s="26" t="s">
        <v>150</v>
      </c>
      <c r="Y190" s="26" t="s">
        <v>3829</v>
      </c>
      <c r="Z190" s="26">
        <v>38.0206506</v>
      </c>
      <c r="AA190" s="26">
        <v>0</v>
      </c>
      <c r="AB190" s="26">
        <v>0</v>
      </c>
      <c r="AC190" s="26">
        <v>65</v>
      </c>
      <c r="AD190" s="26" t="s">
        <v>3830</v>
      </c>
      <c r="AE190" s="26" t="s">
        <v>3830</v>
      </c>
      <c r="AF190" s="26" t="s">
        <v>3830</v>
      </c>
      <c r="AG190" s="26" t="s">
        <v>3831</v>
      </c>
      <c r="AI190" s="26" t="s">
        <v>167</v>
      </c>
      <c r="AJ190" s="26" t="s">
        <v>168</v>
      </c>
      <c r="AK190" s="26" t="s">
        <v>169</v>
      </c>
      <c r="AL190" s="26" t="s">
        <v>3832</v>
      </c>
      <c r="AM190" s="26" t="s">
        <v>3017</v>
      </c>
      <c r="AN190" s="26" t="s">
        <v>172</v>
      </c>
      <c r="AO190" s="26" t="s">
        <v>3833</v>
      </c>
      <c r="AP190" s="26" t="s">
        <v>162</v>
      </c>
      <c r="AQ190" s="26" t="s">
        <v>3834</v>
      </c>
      <c r="AR190" s="26" t="s">
        <v>3835</v>
      </c>
      <c r="AS190" s="26" t="s">
        <v>349</v>
      </c>
      <c r="AT190" s="26" t="s">
        <v>3836</v>
      </c>
      <c r="AU190" s="26" t="s">
        <v>3837</v>
      </c>
      <c r="AV190" s="26" t="s">
        <v>3837</v>
      </c>
      <c r="AX190" s="26" t="s">
        <v>3838</v>
      </c>
      <c r="AY190" s="26" t="s">
        <v>179</v>
      </c>
      <c r="BC190" s="26" t="s">
        <v>3821</v>
      </c>
      <c r="BD190" s="26" t="s">
        <v>180</v>
      </c>
      <c r="BE190" s="26" t="s">
        <v>181</v>
      </c>
      <c r="BF190" s="26" t="s">
        <v>167</v>
      </c>
      <c r="BH190" s="26" t="s">
        <v>162</v>
      </c>
      <c r="BI190" s="26" t="s">
        <v>182</v>
      </c>
      <c r="BJ190" s="26" t="s">
        <v>3839</v>
      </c>
      <c r="BK190" s="26" t="s">
        <v>264</v>
      </c>
      <c r="BL190" s="26" t="s">
        <v>185</v>
      </c>
      <c r="BM190" s="26" t="s">
        <v>186</v>
      </c>
      <c r="BN190" s="26" t="s">
        <v>162</v>
      </c>
      <c r="BP190" s="26">
        <v>0</v>
      </c>
      <c r="BQ190" s="26" t="s">
        <v>1294</v>
      </c>
      <c r="BS190" s="26" t="s">
        <v>230</v>
      </c>
      <c r="BT190" s="26" t="s">
        <v>185</v>
      </c>
      <c r="BV190" s="26">
        <v>49.9552</v>
      </c>
      <c r="BW190" s="26">
        <v>0.16</v>
      </c>
      <c r="BZ190" s="26">
        <v>0</v>
      </c>
      <c r="CA190" s="26" t="s">
        <v>189</v>
      </c>
      <c r="CC190" s="26" t="s">
        <v>162</v>
      </c>
      <c r="CD190" s="26">
        <v>0</v>
      </c>
      <c r="CE190" s="26" t="s">
        <v>190</v>
      </c>
      <c r="CF190" s="26" t="s">
        <v>167</v>
      </c>
      <c r="CG190" s="26" t="s">
        <v>3840</v>
      </c>
      <c r="CI190" s="26" t="s">
        <v>191</v>
      </c>
      <c r="CJ190" s="26">
        <v>312.22</v>
      </c>
      <c r="CK190" s="26">
        <v>0</v>
      </c>
      <c r="CL190" s="26">
        <v>15.61</v>
      </c>
      <c r="CM190" s="26">
        <v>76.04</v>
      </c>
      <c r="CQ190" s="26" t="s">
        <v>192</v>
      </c>
      <c r="CR190" s="26" t="s">
        <v>3841</v>
      </c>
      <c r="CS190" s="26" t="s">
        <v>3842</v>
      </c>
      <c r="CW190" s="26" t="s">
        <v>3843</v>
      </c>
      <c r="CX190" s="26" t="s">
        <v>195</v>
      </c>
      <c r="CY190" s="26" t="s">
        <v>196</v>
      </c>
      <c r="CZ190" s="26">
        <v>0</v>
      </c>
      <c r="DB190" s="26">
        <v>0</v>
      </c>
      <c r="DK190" s="26" t="s">
        <v>150</v>
      </c>
      <c r="DL190" s="26" t="s">
        <v>542</v>
      </c>
      <c r="DM190" s="26" t="s">
        <v>3844</v>
      </c>
      <c r="DN190" s="26" t="s">
        <v>3845</v>
      </c>
      <c r="DO190" s="26" t="s">
        <v>3846</v>
      </c>
      <c r="DP190" s="26" t="s">
        <v>3847</v>
      </c>
      <c r="DR190" s="26" t="s">
        <v>189</v>
      </c>
      <c r="DS190" s="26" t="s">
        <v>189</v>
      </c>
      <c r="DT190" s="26" t="s">
        <v>189</v>
      </c>
      <c r="DU190" s="26" t="s">
        <v>189</v>
      </c>
      <c r="DV190" s="26" t="s">
        <v>203</v>
      </c>
      <c r="DW190" s="26" t="s">
        <v>162</v>
      </c>
      <c r="DX190" s="26" t="s">
        <v>162</v>
      </c>
      <c r="DY190" s="26">
        <v>0</v>
      </c>
      <c r="DZ190" s="26" t="s">
        <v>150</v>
      </c>
      <c r="EA190" s="26" t="s">
        <v>534</v>
      </c>
      <c r="EB190" s="26" t="s">
        <v>547</v>
      </c>
      <c r="EH190" s="26" t="s">
        <v>189</v>
      </c>
      <c r="EI190" s="26">
        <v>0.16</v>
      </c>
      <c r="EJ190" s="26">
        <v>49.9552</v>
      </c>
      <c r="EK190" s="26">
        <v>76.04</v>
      </c>
      <c r="EL190" s="26" t="s">
        <v>3848</v>
      </c>
      <c r="EM190" s="26" t="s">
        <v>206</v>
      </c>
      <c r="EN190" s="26" t="s">
        <v>207</v>
      </c>
    </row>
    <row r="191" spans="1:144">
      <c r="A191" s="26" t="s">
        <v>145</v>
      </c>
      <c r="B191" s="26" t="s">
        <v>763</v>
      </c>
      <c r="C191" s="26" t="s">
        <v>3821</v>
      </c>
      <c r="D191" s="26" t="s">
        <v>148</v>
      </c>
      <c r="E191" s="26" t="s">
        <v>149</v>
      </c>
      <c r="F191" s="26" t="s">
        <v>152</v>
      </c>
      <c r="G191" s="26" t="s">
        <v>151</v>
      </c>
      <c r="H191" s="26" t="s">
        <v>152</v>
      </c>
      <c r="I191" s="26" t="s">
        <v>153</v>
      </c>
      <c r="J191" s="26" t="s">
        <v>154</v>
      </c>
      <c r="K191" s="26" t="s">
        <v>244</v>
      </c>
      <c r="L191" s="26" t="s">
        <v>2402</v>
      </c>
      <c r="M191" s="26" t="s">
        <v>3823</v>
      </c>
      <c r="O191" s="26" t="s">
        <v>3849</v>
      </c>
      <c r="P191" s="26" t="s">
        <v>3850</v>
      </c>
      <c r="S191" s="26" t="s">
        <v>2866</v>
      </c>
      <c r="T191" s="26">
        <v>188.562708</v>
      </c>
      <c r="U191" s="26" t="s">
        <v>217</v>
      </c>
      <c r="V191" s="26" t="s">
        <v>150</v>
      </c>
      <c r="Y191" s="26" t="s">
        <v>3829</v>
      </c>
      <c r="Z191" s="26">
        <v>38.0206506</v>
      </c>
      <c r="AA191" s="26">
        <v>0</v>
      </c>
      <c r="AB191" s="26">
        <v>0</v>
      </c>
      <c r="AC191" s="26">
        <v>35.15</v>
      </c>
      <c r="AD191" s="26" t="s">
        <v>3851</v>
      </c>
      <c r="AE191" s="26" t="s">
        <v>3851</v>
      </c>
      <c r="AF191" s="26" t="s">
        <v>3851</v>
      </c>
      <c r="AG191" s="26" t="s">
        <v>3852</v>
      </c>
      <c r="AI191" s="26" t="s">
        <v>167</v>
      </c>
      <c r="AJ191" s="26" t="s">
        <v>168</v>
      </c>
      <c r="AK191" s="26" t="s">
        <v>169</v>
      </c>
      <c r="AM191" s="26" t="s">
        <v>377</v>
      </c>
      <c r="AN191" s="26" t="s">
        <v>172</v>
      </c>
      <c r="AO191" s="26" t="s">
        <v>2412</v>
      </c>
      <c r="AP191" s="26" t="s">
        <v>162</v>
      </c>
      <c r="AQ191" s="26" t="s">
        <v>3834</v>
      </c>
      <c r="AR191" s="26" t="s">
        <v>3835</v>
      </c>
      <c r="AS191" s="26" t="s">
        <v>600</v>
      </c>
      <c r="AU191" s="26" t="s">
        <v>3837</v>
      </c>
      <c r="AV191" s="26" t="s">
        <v>3837</v>
      </c>
      <c r="AX191" s="26" t="s">
        <v>3853</v>
      </c>
      <c r="AY191" s="26" t="s">
        <v>179</v>
      </c>
      <c r="BC191" s="26" t="s">
        <v>3821</v>
      </c>
      <c r="BD191" s="26" t="s">
        <v>180</v>
      </c>
      <c r="BE191" s="26" t="s">
        <v>181</v>
      </c>
      <c r="BF191" s="26" t="s">
        <v>167</v>
      </c>
      <c r="BH191" s="26" t="s">
        <v>162</v>
      </c>
      <c r="BI191" s="26" t="s">
        <v>182</v>
      </c>
      <c r="BJ191" s="26" t="s">
        <v>2116</v>
      </c>
      <c r="BK191" s="26" t="s">
        <v>264</v>
      </c>
      <c r="BL191" s="26" t="s">
        <v>185</v>
      </c>
      <c r="BM191" s="26" t="s">
        <v>186</v>
      </c>
      <c r="BN191" s="26" t="s">
        <v>162</v>
      </c>
      <c r="BP191" s="26">
        <v>0</v>
      </c>
      <c r="BQ191" s="26" t="s">
        <v>1504</v>
      </c>
      <c r="BS191" s="26" t="s">
        <v>188</v>
      </c>
      <c r="BT191" s="26" t="s">
        <v>185</v>
      </c>
      <c r="BV191" s="26">
        <v>31.1552</v>
      </c>
      <c r="BW191" s="26">
        <v>0.16</v>
      </c>
      <c r="BZ191" s="26">
        <v>0</v>
      </c>
      <c r="CA191" s="26" t="s">
        <v>189</v>
      </c>
      <c r="CC191" s="26" t="s">
        <v>162</v>
      </c>
      <c r="CD191" s="26">
        <v>0</v>
      </c>
      <c r="CE191" s="26" t="s">
        <v>190</v>
      </c>
      <c r="CF191" s="26" t="s">
        <v>195</v>
      </c>
      <c r="CG191" s="26" t="s">
        <v>3854</v>
      </c>
      <c r="CI191" s="26" t="s">
        <v>267</v>
      </c>
      <c r="CJ191" s="26">
        <v>194.72</v>
      </c>
      <c r="CK191" s="26">
        <v>0</v>
      </c>
      <c r="CL191" s="26">
        <v>9.74</v>
      </c>
      <c r="CM191" s="26">
        <v>29.5</v>
      </c>
      <c r="CQ191" s="26" t="s">
        <v>605</v>
      </c>
      <c r="CR191" s="26" t="s">
        <v>3841</v>
      </c>
      <c r="CS191" s="26" t="s">
        <v>3842</v>
      </c>
      <c r="CW191" s="26" t="s">
        <v>3855</v>
      </c>
      <c r="CX191" s="26" t="s">
        <v>162</v>
      </c>
      <c r="CY191" s="26" t="s">
        <v>196</v>
      </c>
      <c r="CZ191" s="26">
        <v>0</v>
      </c>
      <c r="DB191" s="26">
        <v>0</v>
      </c>
      <c r="DK191" s="26" t="s">
        <v>150</v>
      </c>
      <c r="DL191" s="26" t="s">
        <v>542</v>
      </c>
      <c r="DM191" s="26" t="s">
        <v>3844</v>
      </c>
      <c r="DN191" s="26" t="s">
        <v>3845</v>
      </c>
      <c r="DO191" s="26" t="s">
        <v>3846</v>
      </c>
      <c r="DP191" s="26" t="s">
        <v>3847</v>
      </c>
      <c r="DR191" s="26" t="s">
        <v>189</v>
      </c>
      <c r="DS191" s="26" t="s">
        <v>189</v>
      </c>
      <c r="DT191" s="26" t="s">
        <v>189</v>
      </c>
      <c r="DU191" s="26" t="s">
        <v>189</v>
      </c>
      <c r="DV191" s="26" t="s">
        <v>203</v>
      </c>
      <c r="DW191" s="26" t="s">
        <v>162</v>
      </c>
      <c r="DX191" s="26" t="s">
        <v>162</v>
      </c>
      <c r="DY191" s="26">
        <v>0</v>
      </c>
      <c r="DZ191" s="26" t="s">
        <v>150</v>
      </c>
      <c r="EH191" s="26" t="s">
        <v>189</v>
      </c>
      <c r="EI191" s="26">
        <v>0.16</v>
      </c>
      <c r="EJ191" s="26">
        <v>31.1552</v>
      </c>
      <c r="EK191" s="26">
        <v>29.5</v>
      </c>
      <c r="EL191" s="26" t="s">
        <v>3856</v>
      </c>
      <c r="EM191" s="26" t="s">
        <v>206</v>
      </c>
      <c r="EN191" s="26" t="s">
        <v>207</v>
      </c>
    </row>
    <row r="192" spans="1:144">
      <c r="A192" s="26" t="s">
        <v>145</v>
      </c>
      <c r="B192" s="26" t="s">
        <v>763</v>
      </c>
      <c r="C192" s="26" t="s">
        <v>3857</v>
      </c>
      <c r="D192" s="26" t="s">
        <v>148</v>
      </c>
      <c r="E192" s="26" t="s">
        <v>149</v>
      </c>
      <c r="F192" s="26" t="s">
        <v>152</v>
      </c>
      <c r="G192" s="26" t="s">
        <v>151</v>
      </c>
      <c r="H192" s="26" t="s">
        <v>152</v>
      </c>
      <c r="I192" s="26" t="s">
        <v>153</v>
      </c>
      <c r="J192" s="26" t="s">
        <v>154</v>
      </c>
      <c r="K192" s="26" t="s">
        <v>209</v>
      </c>
      <c r="L192" s="26" t="s">
        <v>210</v>
      </c>
      <c r="M192" s="26" t="s">
        <v>3858</v>
      </c>
      <c r="N192" s="26" t="s">
        <v>3859</v>
      </c>
      <c r="O192" s="26" t="s">
        <v>3860</v>
      </c>
      <c r="P192" s="26" t="s">
        <v>3861</v>
      </c>
      <c r="Q192" s="26" t="s">
        <v>3862</v>
      </c>
      <c r="R192" s="26">
        <v>289.211648</v>
      </c>
      <c r="S192" s="26" t="s">
        <v>3863</v>
      </c>
      <c r="T192" s="26">
        <v>283.049468</v>
      </c>
      <c r="U192" s="26" t="s">
        <v>217</v>
      </c>
      <c r="V192" s="26" t="s">
        <v>150</v>
      </c>
      <c r="Y192" s="26" t="s">
        <v>3864</v>
      </c>
      <c r="Z192" s="26">
        <v>43.3817472</v>
      </c>
      <c r="AA192" s="26">
        <v>0</v>
      </c>
      <c r="AB192" s="26">
        <v>0</v>
      </c>
      <c r="AC192" s="26">
        <v>49</v>
      </c>
      <c r="AD192" s="26" t="s">
        <v>219</v>
      </c>
      <c r="AE192" s="26" t="s">
        <v>219</v>
      </c>
      <c r="AF192" s="26" t="s">
        <v>219</v>
      </c>
      <c r="AG192" s="26" t="s">
        <v>3865</v>
      </c>
      <c r="AI192" s="26" t="s">
        <v>167</v>
      </c>
      <c r="AJ192" s="26" t="s">
        <v>168</v>
      </c>
      <c r="AK192" s="26" t="s">
        <v>169</v>
      </c>
      <c r="AL192" s="26" t="s">
        <v>1671</v>
      </c>
      <c r="AM192" s="26" t="s">
        <v>3640</v>
      </c>
      <c r="AN192" s="26" t="s">
        <v>172</v>
      </c>
      <c r="AO192" s="26" t="s">
        <v>223</v>
      </c>
      <c r="AP192" s="26" t="s">
        <v>162</v>
      </c>
      <c r="AQ192" s="26" t="s">
        <v>3866</v>
      </c>
      <c r="AR192" s="26" t="s">
        <v>3867</v>
      </c>
      <c r="AS192" s="26" t="s">
        <v>226</v>
      </c>
      <c r="AU192" s="26" t="s">
        <v>3868</v>
      </c>
      <c r="AV192" s="26" t="s">
        <v>3868</v>
      </c>
      <c r="AX192" s="26" t="s">
        <v>228</v>
      </c>
      <c r="AY192" s="26" t="s">
        <v>179</v>
      </c>
      <c r="BC192" s="26" t="s">
        <v>3857</v>
      </c>
      <c r="BD192" s="26" t="s">
        <v>180</v>
      </c>
      <c r="BE192" s="26" t="s">
        <v>181</v>
      </c>
      <c r="BF192" s="26" t="s">
        <v>167</v>
      </c>
      <c r="BH192" s="26" t="s">
        <v>162</v>
      </c>
      <c r="BI192" s="26" t="s">
        <v>182</v>
      </c>
      <c r="BJ192" s="26" t="s">
        <v>3869</v>
      </c>
      <c r="BK192" s="26" t="s">
        <v>184</v>
      </c>
      <c r="BL192" s="26" t="s">
        <v>185</v>
      </c>
      <c r="BM192" s="26" t="s">
        <v>186</v>
      </c>
      <c r="BN192" s="26" t="s">
        <v>162</v>
      </c>
      <c r="BP192" s="26">
        <v>0</v>
      </c>
      <c r="BQ192" s="26" t="s">
        <v>223</v>
      </c>
      <c r="BS192" s="26" t="s">
        <v>230</v>
      </c>
      <c r="BT192" s="26" t="s">
        <v>185</v>
      </c>
      <c r="BV192" s="26">
        <v>40.4894</v>
      </c>
      <c r="BW192" s="26">
        <v>0.14</v>
      </c>
      <c r="BZ192" s="26">
        <v>0</v>
      </c>
      <c r="CA192" s="26" t="s">
        <v>189</v>
      </c>
      <c r="CC192" s="26" t="s">
        <v>162</v>
      </c>
      <c r="CD192" s="26">
        <v>0</v>
      </c>
      <c r="CE192" s="26" t="s">
        <v>190</v>
      </c>
      <c r="CF192" s="26" t="s">
        <v>167</v>
      </c>
      <c r="CG192" s="26" t="s">
        <v>3870</v>
      </c>
      <c r="CI192" s="26" t="s">
        <v>232</v>
      </c>
      <c r="CJ192" s="26">
        <v>289.21</v>
      </c>
      <c r="CK192" s="26">
        <v>0</v>
      </c>
      <c r="CL192" s="26">
        <v>14.46</v>
      </c>
      <c r="CM192" s="26">
        <v>64.16</v>
      </c>
      <c r="CQ192" s="26" t="s">
        <v>233</v>
      </c>
      <c r="CR192" s="26" t="s">
        <v>1678</v>
      </c>
      <c r="CS192" s="26" t="s">
        <v>3871</v>
      </c>
      <c r="CW192" s="26" t="s">
        <v>236</v>
      </c>
      <c r="CX192" s="26" t="s">
        <v>167</v>
      </c>
      <c r="CY192" s="26" t="s">
        <v>196</v>
      </c>
      <c r="CZ192" s="26">
        <v>0</v>
      </c>
      <c r="DB192" s="26">
        <v>0</v>
      </c>
      <c r="DK192" s="26" t="s">
        <v>150</v>
      </c>
      <c r="DL192" s="26" t="s">
        <v>972</v>
      </c>
      <c r="DM192" s="26" t="s">
        <v>3872</v>
      </c>
      <c r="DN192" s="26" t="s">
        <v>3873</v>
      </c>
      <c r="DO192" s="26" t="s">
        <v>3846</v>
      </c>
      <c r="DP192" s="26" t="s">
        <v>3874</v>
      </c>
      <c r="DR192" s="26" t="s">
        <v>189</v>
      </c>
      <c r="DS192" s="26" t="s">
        <v>189</v>
      </c>
      <c r="DT192" s="26" t="s">
        <v>189</v>
      </c>
      <c r="DU192" s="26" t="s">
        <v>189</v>
      </c>
      <c r="DV192" s="26" t="s">
        <v>203</v>
      </c>
      <c r="DW192" s="26" t="s">
        <v>162</v>
      </c>
      <c r="DX192" s="26" t="s">
        <v>162</v>
      </c>
      <c r="DY192" s="26">
        <v>0</v>
      </c>
      <c r="DZ192" s="26" t="s">
        <v>150</v>
      </c>
      <c r="EH192" s="26" t="s">
        <v>189</v>
      </c>
      <c r="EI192" s="26">
        <v>0.14</v>
      </c>
      <c r="EJ192" s="26">
        <v>40.4894</v>
      </c>
      <c r="EK192" s="26">
        <v>64.16</v>
      </c>
      <c r="EL192" s="26" t="s">
        <v>3875</v>
      </c>
      <c r="EM192" s="26" t="s">
        <v>206</v>
      </c>
      <c r="EN192" s="26" t="s">
        <v>207</v>
      </c>
    </row>
    <row r="193" spans="1:144">
      <c r="A193" s="26" t="s">
        <v>145</v>
      </c>
      <c r="B193" s="26" t="s">
        <v>763</v>
      </c>
      <c r="C193" s="26" t="s">
        <v>3876</v>
      </c>
      <c r="D193" s="26" t="s">
        <v>148</v>
      </c>
      <c r="E193" s="26" t="s">
        <v>149</v>
      </c>
      <c r="F193" s="26" t="s">
        <v>152</v>
      </c>
      <c r="G193" s="26" t="s">
        <v>151</v>
      </c>
      <c r="H193" s="26" t="s">
        <v>152</v>
      </c>
      <c r="I193" s="26" t="s">
        <v>153</v>
      </c>
      <c r="J193" s="26" t="s">
        <v>154</v>
      </c>
      <c r="K193" s="26" t="s">
        <v>244</v>
      </c>
      <c r="L193" s="26" t="s">
        <v>366</v>
      </c>
      <c r="M193" s="26" t="s">
        <v>3877</v>
      </c>
      <c r="N193" s="26" t="s">
        <v>3878</v>
      </c>
      <c r="O193" s="26" t="s">
        <v>3879</v>
      </c>
      <c r="P193" s="26" t="s">
        <v>3880</v>
      </c>
      <c r="Q193" s="26" t="s">
        <v>3881</v>
      </c>
      <c r="R193" s="26">
        <v>384.930844</v>
      </c>
      <c r="S193" s="26" t="s">
        <v>3882</v>
      </c>
      <c r="T193" s="26">
        <v>378.768664</v>
      </c>
      <c r="U193" s="26" t="s">
        <v>217</v>
      </c>
      <c r="V193" s="26" t="s">
        <v>150</v>
      </c>
      <c r="Y193" s="26" t="s">
        <v>3883</v>
      </c>
      <c r="Z193" s="26">
        <v>57.7396266</v>
      </c>
      <c r="AA193" s="26">
        <v>0</v>
      </c>
      <c r="AB193" s="26">
        <v>0</v>
      </c>
      <c r="AC193" s="26">
        <v>68</v>
      </c>
      <c r="AD193" s="26" t="s">
        <v>1028</v>
      </c>
      <c r="AE193" s="26" t="s">
        <v>1028</v>
      </c>
      <c r="AF193" s="26">
        <v>73</v>
      </c>
      <c r="AG193" s="26" t="s">
        <v>3884</v>
      </c>
      <c r="AH193" s="26" t="s">
        <v>3885</v>
      </c>
      <c r="AI193" s="26" t="s">
        <v>167</v>
      </c>
      <c r="AJ193" s="26" t="s">
        <v>168</v>
      </c>
      <c r="AK193" s="26" t="s">
        <v>169</v>
      </c>
      <c r="AL193" s="26" t="s">
        <v>162</v>
      </c>
      <c r="AM193" s="26" t="s">
        <v>3886</v>
      </c>
      <c r="AN193" s="26" t="s">
        <v>172</v>
      </c>
      <c r="AO193" s="26" t="s">
        <v>408</v>
      </c>
      <c r="AP193" s="26" t="s">
        <v>162</v>
      </c>
      <c r="AQ193" s="26" t="s">
        <v>3887</v>
      </c>
      <c r="AS193" s="26" t="s">
        <v>462</v>
      </c>
      <c r="AT193" s="26" t="s">
        <v>1943</v>
      </c>
      <c r="AU193" s="26" t="s">
        <v>3888</v>
      </c>
      <c r="AV193" s="26" t="s">
        <v>3888</v>
      </c>
      <c r="AX193" s="26" t="s">
        <v>3889</v>
      </c>
      <c r="AY193" s="26" t="s">
        <v>3890</v>
      </c>
      <c r="BC193" s="26" t="s">
        <v>3876</v>
      </c>
      <c r="BD193" s="26" t="s">
        <v>180</v>
      </c>
      <c r="BE193" s="26" t="s">
        <v>181</v>
      </c>
      <c r="BF193" s="26" t="s">
        <v>167</v>
      </c>
      <c r="BH193" s="26" t="s">
        <v>162</v>
      </c>
      <c r="BI193" s="26" t="s">
        <v>182</v>
      </c>
      <c r="BK193" s="26" t="s">
        <v>184</v>
      </c>
      <c r="BL193" s="26" t="s">
        <v>185</v>
      </c>
      <c r="BM193" s="26" t="s">
        <v>186</v>
      </c>
      <c r="BN193" s="26" t="s">
        <v>162</v>
      </c>
      <c r="BP193" s="26">
        <v>0</v>
      </c>
      <c r="BS193" s="26" t="s">
        <v>230</v>
      </c>
      <c r="BT193" s="26" t="s">
        <v>185</v>
      </c>
      <c r="BV193" s="26">
        <v>61.5888</v>
      </c>
      <c r="BW193" s="26">
        <v>0.16</v>
      </c>
      <c r="BZ193" s="26" t="s">
        <v>167</v>
      </c>
      <c r="CA193" s="26" t="s">
        <v>189</v>
      </c>
      <c r="CC193" s="26" t="s">
        <v>162</v>
      </c>
      <c r="CD193" s="26">
        <v>0</v>
      </c>
      <c r="CE193" s="26" t="s">
        <v>190</v>
      </c>
      <c r="CF193" s="26" t="s">
        <v>167</v>
      </c>
      <c r="CG193" s="26" t="s">
        <v>3891</v>
      </c>
      <c r="CI193" s="26" t="s">
        <v>267</v>
      </c>
      <c r="CJ193" s="26">
        <v>384.93</v>
      </c>
      <c r="CK193" s="26">
        <v>0</v>
      </c>
      <c r="CL193" s="26">
        <v>19.25</v>
      </c>
      <c r="CM193" s="26">
        <v>69.7</v>
      </c>
      <c r="CQ193" s="26" t="s">
        <v>192</v>
      </c>
      <c r="CR193" s="26" t="s">
        <v>782</v>
      </c>
      <c r="CS193" s="26" t="s">
        <v>3892</v>
      </c>
      <c r="CW193" s="26" t="s">
        <v>3893</v>
      </c>
      <c r="CX193" s="26" t="s">
        <v>162</v>
      </c>
      <c r="CY193" s="26" t="s">
        <v>196</v>
      </c>
      <c r="CZ193" s="26">
        <v>0</v>
      </c>
      <c r="DB193" s="26">
        <v>0</v>
      </c>
      <c r="DK193" s="26" t="s">
        <v>150</v>
      </c>
      <c r="DL193" s="26" t="s">
        <v>917</v>
      </c>
      <c r="DM193" s="26" t="s">
        <v>3894</v>
      </c>
      <c r="DO193" s="26" t="s">
        <v>3895</v>
      </c>
      <c r="DR193" s="26" t="s">
        <v>189</v>
      </c>
      <c r="DS193" s="26" t="s">
        <v>189</v>
      </c>
      <c r="DT193" s="26" t="s">
        <v>189</v>
      </c>
      <c r="DU193" s="26" t="s">
        <v>189</v>
      </c>
      <c r="DV193" s="26" t="s">
        <v>203</v>
      </c>
      <c r="DW193" s="26" t="s">
        <v>162</v>
      </c>
      <c r="DX193" s="26" t="s">
        <v>162</v>
      </c>
      <c r="DY193" s="26">
        <v>0</v>
      </c>
      <c r="DZ193" s="26" t="s">
        <v>150</v>
      </c>
      <c r="EH193" s="26" t="s">
        <v>189</v>
      </c>
      <c r="EI193" s="26">
        <v>0.16</v>
      </c>
      <c r="EJ193" s="26">
        <v>61.5888</v>
      </c>
      <c r="EK193" s="26">
        <v>69.7</v>
      </c>
      <c r="EL193" s="26" t="s">
        <v>3896</v>
      </c>
      <c r="EM193" s="26" t="s">
        <v>206</v>
      </c>
      <c r="EN193" s="26" t="s">
        <v>207</v>
      </c>
    </row>
    <row r="194" spans="1:144">
      <c r="A194" s="26" t="s">
        <v>145</v>
      </c>
      <c r="B194" s="26" t="s">
        <v>763</v>
      </c>
      <c r="C194" s="26" t="s">
        <v>3897</v>
      </c>
      <c r="D194" s="26" t="s">
        <v>148</v>
      </c>
      <c r="E194" s="26" t="s">
        <v>149</v>
      </c>
      <c r="F194" s="26" t="s">
        <v>152</v>
      </c>
      <c r="G194" s="26" t="s">
        <v>151</v>
      </c>
      <c r="H194" s="26" t="s">
        <v>152</v>
      </c>
      <c r="I194" s="26" t="s">
        <v>153</v>
      </c>
      <c r="J194" s="26" t="s">
        <v>154</v>
      </c>
      <c r="K194" s="26" t="s">
        <v>1075</v>
      </c>
      <c r="L194" s="26" t="s">
        <v>1884</v>
      </c>
      <c r="M194" s="26" t="s">
        <v>3898</v>
      </c>
      <c r="N194" s="26" t="s">
        <v>3899</v>
      </c>
      <c r="O194" s="26" t="s">
        <v>3900</v>
      </c>
      <c r="P194" s="26" t="s">
        <v>3901</v>
      </c>
      <c r="Q194" s="26" t="s">
        <v>3902</v>
      </c>
      <c r="R194" s="26">
        <v>83.394836</v>
      </c>
      <c r="S194" s="26" t="s">
        <v>3903</v>
      </c>
      <c r="T194" s="26">
        <v>77.232656</v>
      </c>
      <c r="U194" s="26" t="s">
        <v>217</v>
      </c>
      <c r="V194" s="26" t="s">
        <v>150</v>
      </c>
      <c r="Y194" s="26" t="s">
        <v>3904</v>
      </c>
      <c r="Z194" s="26">
        <v>12.5092254</v>
      </c>
      <c r="AA194" s="26">
        <v>0</v>
      </c>
      <c r="AB194" s="26">
        <v>0</v>
      </c>
      <c r="AC194" s="26">
        <v>9</v>
      </c>
      <c r="AD194" s="26" t="s">
        <v>1358</v>
      </c>
      <c r="AE194" s="26" t="s">
        <v>1358</v>
      </c>
      <c r="AF194" s="26">
        <v>9</v>
      </c>
      <c r="AG194" s="26" t="s">
        <v>3905</v>
      </c>
      <c r="AH194" s="26" t="s">
        <v>3906</v>
      </c>
      <c r="AI194" s="26" t="s">
        <v>167</v>
      </c>
      <c r="AJ194" s="26" t="s">
        <v>168</v>
      </c>
      <c r="AK194" s="26" t="s">
        <v>169</v>
      </c>
      <c r="AL194" s="26" t="s">
        <v>162</v>
      </c>
      <c r="AM194" s="26" t="s">
        <v>3907</v>
      </c>
      <c r="AN194" s="26" t="s">
        <v>172</v>
      </c>
      <c r="AO194" s="26" t="s">
        <v>1895</v>
      </c>
      <c r="AP194" s="26" t="s">
        <v>162</v>
      </c>
      <c r="AQ194" s="26" t="s">
        <v>3908</v>
      </c>
      <c r="AS194" s="26" t="s">
        <v>600</v>
      </c>
      <c r="AU194" s="26" t="s">
        <v>3909</v>
      </c>
      <c r="AV194" s="26" t="s">
        <v>3909</v>
      </c>
      <c r="AX194" s="26" t="s">
        <v>3910</v>
      </c>
      <c r="AY194" s="26" t="s">
        <v>3890</v>
      </c>
      <c r="BC194" s="26" t="s">
        <v>3897</v>
      </c>
      <c r="BD194" s="26" t="s">
        <v>180</v>
      </c>
      <c r="BE194" s="26" t="s">
        <v>181</v>
      </c>
      <c r="BF194" s="26" t="s">
        <v>167</v>
      </c>
      <c r="BH194" s="26" t="s">
        <v>162</v>
      </c>
      <c r="BI194" s="26" t="s">
        <v>182</v>
      </c>
      <c r="BK194" s="26" t="s">
        <v>184</v>
      </c>
      <c r="BL194" s="26" t="s">
        <v>185</v>
      </c>
      <c r="BM194" s="26" t="s">
        <v>186</v>
      </c>
      <c r="BN194" s="26" t="s">
        <v>162</v>
      </c>
      <c r="BP194" s="26">
        <v>0</v>
      </c>
      <c r="BQ194" s="26" t="s">
        <v>776</v>
      </c>
      <c r="BS194" s="26" t="s">
        <v>354</v>
      </c>
      <c r="BT194" s="26" t="s">
        <v>185</v>
      </c>
      <c r="BV194" s="26">
        <v>11.6746</v>
      </c>
      <c r="BW194" s="26">
        <v>0.14</v>
      </c>
      <c r="BZ194" s="26" t="s">
        <v>167</v>
      </c>
      <c r="CA194" s="26" t="s">
        <v>189</v>
      </c>
      <c r="CC194" s="26" t="s">
        <v>162</v>
      </c>
      <c r="CD194" s="26">
        <v>0</v>
      </c>
      <c r="CE194" s="26" t="s">
        <v>190</v>
      </c>
      <c r="CF194" s="26" t="s">
        <v>167</v>
      </c>
      <c r="CG194" s="26" t="s">
        <v>3911</v>
      </c>
      <c r="CI194" s="26" t="s">
        <v>1095</v>
      </c>
      <c r="CJ194" s="26">
        <v>83.39</v>
      </c>
      <c r="CK194" s="26">
        <v>0</v>
      </c>
      <c r="CL194" s="26">
        <v>4.17</v>
      </c>
      <c r="CM194" s="26">
        <v>20.26</v>
      </c>
      <c r="CQ194" s="26" t="s">
        <v>605</v>
      </c>
      <c r="CR194" s="26" t="s">
        <v>782</v>
      </c>
      <c r="CS194" s="26" t="s">
        <v>3912</v>
      </c>
      <c r="CW194" s="26" t="s">
        <v>3913</v>
      </c>
      <c r="CX194" s="26" t="s">
        <v>162</v>
      </c>
      <c r="CY194" s="26" t="s">
        <v>196</v>
      </c>
      <c r="CZ194" s="26">
        <v>0</v>
      </c>
      <c r="DB194" s="26">
        <v>0</v>
      </c>
      <c r="DK194" s="26" t="s">
        <v>150</v>
      </c>
      <c r="DL194" s="26" t="s">
        <v>917</v>
      </c>
      <c r="DM194" s="26" t="s">
        <v>3914</v>
      </c>
      <c r="DO194" s="26" t="s">
        <v>3915</v>
      </c>
      <c r="DR194" s="26" t="s">
        <v>189</v>
      </c>
      <c r="DS194" s="26" t="s">
        <v>189</v>
      </c>
      <c r="DT194" s="26" t="s">
        <v>189</v>
      </c>
      <c r="DU194" s="26" t="s">
        <v>189</v>
      </c>
      <c r="DV194" s="26" t="s">
        <v>203</v>
      </c>
      <c r="DW194" s="26" t="s">
        <v>162</v>
      </c>
      <c r="DX194" s="26" t="s">
        <v>162</v>
      </c>
      <c r="DY194" s="26">
        <v>0</v>
      </c>
      <c r="DZ194" s="26" t="s">
        <v>150</v>
      </c>
      <c r="EH194" s="26" t="s">
        <v>189</v>
      </c>
      <c r="EI194" s="26">
        <v>0.14</v>
      </c>
      <c r="EJ194" s="26">
        <v>11.6746</v>
      </c>
      <c r="EK194" s="26">
        <v>20.26</v>
      </c>
      <c r="EL194" s="26" t="s">
        <v>3916</v>
      </c>
      <c r="EM194" s="26" t="s">
        <v>206</v>
      </c>
      <c r="EN194" s="26" t="s">
        <v>207</v>
      </c>
    </row>
    <row r="195" spans="1:144">
      <c r="A195" s="26" t="s">
        <v>145</v>
      </c>
      <c r="B195" s="26" t="s">
        <v>763</v>
      </c>
      <c r="C195" s="26" t="s">
        <v>3917</v>
      </c>
      <c r="D195" s="26" t="s">
        <v>148</v>
      </c>
      <c r="E195" s="26" t="s">
        <v>149</v>
      </c>
      <c r="F195" s="26" t="s">
        <v>152</v>
      </c>
      <c r="G195" s="26" t="s">
        <v>151</v>
      </c>
      <c r="H195" s="26" t="s">
        <v>152</v>
      </c>
      <c r="I195" s="26" t="s">
        <v>153</v>
      </c>
      <c r="J195" s="26" t="s">
        <v>154</v>
      </c>
      <c r="K195" s="26" t="s">
        <v>1075</v>
      </c>
      <c r="L195" s="26" t="s">
        <v>3263</v>
      </c>
      <c r="M195" s="26" t="s">
        <v>3918</v>
      </c>
      <c r="N195" s="26" t="s">
        <v>3919</v>
      </c>
      <c r="O195" s="26" t="s">
        <v>3920</v>
      </c>
      <c r="P195" s="26" t="s">
        <v>3921</v>
      </c>
      <c r="Q195" s="26" t="s">
        <v>3354</v>
      </c>
      <c r="R195" s="26">
        <v>83.805648</v>
      </c>
      <c r="S195" s="26" t="s">
        <v>3922</v>
      </c>
      <c r="T195" s="26">
        <v>77.643468</v>
      </c>
      <c r="U195" s="26" t="s">
        <v>217</v>
      </c>
      <c r="V195" s="26" t="s">
        <v>150</v>
      </c>
      <c r="Y195" s="26" t="s">
        <v>3923</v>
      </c>
      <c r="Z195" s="26">
        <v>12.5708472</v>
      </c>
      <c r="AA195" s="26">
        <v>0</v>
      </c>
      <c r="AB195" s="26">
        <v>0</v>
      </c>
      <c r="AC195" s="26">
        <v>5.89</v>
      </c>
      <c r="AD195" s="26" t="s">
        <v>3924</v>
      </c>
      <c r="AE195" s="26" t="s">
        <v>3924</v>
      </c>
      <c r="AF195" s="26" t="s">
        <v>3924</v>
      </c>
      <c r="AG195" s="26" t="s">
        <v>3925</v>
      </c>
      <c r="AH195" s="26" t="s">
        <v>3926</v>
      </c>
      <c r="AI195" s="26" t="s">
        <v>167</v>
      </c>
      <c r="AJ195" s="26" t="s">
        <v>168</v>
      </c>
      <c r="AK195" s="26" t="s">
        <v>169</v>
      </c>
      <c r="AL195" s="26" t="s">
        <v>3272</v>
      </c>
      <c r="AM195" s="26" t="s">
        <v>3272</v>
      </c>
      <c r="AN195" s="26" t="s">
        <v>172</v>
      </c>
      <c r="AO195" s="26" t="s">
        <v>2662</v>
      </c>
      <c r="AP195" s="26" t="s">
        <v>162</v>
      </c>
      <c r="AQ195" s="26" t="s">
        <v>3927</v>
      </c>
      <c r="AR195" s="26" t="s">
        <v>3928</v>
      </c>
      <c r="AS195" s="26" t="s">
        <v>3147</v>
      </c>
      <c r="AU195" s="26" t="s">
        <v>3929</v>
      </c>
      <c r="AV195" s="26" t="s">
        <v>3929</v>
      </c>
      <c r="AX195" s="26" t="s">
        <v>3930</v>
      </c>
      <c r="AY195" s="26" t="s">
        <v>179</v>
      </c>
      <c r="BC195" s="26" t="s">
        <v>3917</v>
      </c>
      <c r="BD195" s="26" t="s">
        <v>180</v>
      </c>
      <c r="BE195" s="26" t="s">
        <v>1007</v>
      </c>
      <c r="BF195" s="26" t="s">
        <v>167</v>
      </c>
      <c r="BH195" s="26" t="s">
        <v>162</v>
      </c>
      <c r="BI195" s="26" t="s">
        <v>182</v>
      </c>
      <c r="BJ195" s="26" t="s">
        <v>1209</v>
      </c>
      <c r="BK195" s="26" t="s">
        <v>184</v>
      </c>
      <c r="BL195" s="26" t="s">
        <v>185</v>
      </c>
      <c r="BM195" s="26" t="s">
        <v>186</v>
      </c>
      <c r="BN195" s="26" t="s">
        <v>162</v>
      </c>
      <c r="BP195" s="26">
        <v>0</v>
      </c>
      <c r="BQ195" s="26" t="s">
        <v>2094</v>
      </c>
      <c r="BS195" s="26" t="s">
        <v>230</v>
      </c>
      <c r="BT195" s="26" t="s">
        <v>185</v>
      </c>
      <c r="BV195" s="26">
        <v>11.7334</v>
      </c>
      <c r="BW195" s="26">
        <v>0.14</v>
      </c>
      <c r="BZ195" s="26">
        <v>0</v>
      </c>
      <c r="CA195" s="26" t="s">
        <v>189</v>
      </c>
      <c r="CC195" s="26" t="s">
        <v>162</v>
      </c>
      <c r="CD195" s="26">
        <v>0</v>
      </c>
      <c r="CE195" s="26" t="s">
        <v>190</v>
      </c>
      <c r="CF195" s="26" t="s">
        <v>167</v>
      </c>
      <c r="CG195" s="26" t="s">
        <v>3931</v>
      </c>
      <c r="CI195" s="26" t="s">
        <v>1095</v>
      </c>
      <c r="CJ195" s="26">
        <v>83.81</v>
      </c>
      <c r="CK195" s="26">
        <v>0</v>
      </c>
      <c r="CL195" s="26">
        <v>4.19</v>
      </c>
      <c r="CM195" s="26">
        <v>26.38</v>
      </c>
      <c r="CQ195" s="26" t="s">
        <v>605</v>
      </c>
      <c r="CR195" s="26" t="s">
        <v>3932</v>
      </c>
      <c r="CS195" s="26" t="s">
        <v>3933</v>
      </c>
      <c r="CW195" s="26" t="s">
        <v>3934</v>
      </c>
      <c r="CX195" s="26" t="s">
        <v>162</v>
      </c>
      <c r="CY195" s="26" t="s">
        <v>196</v>
      </c>
      <c r="CZ195" s="26">
        <v>0</v>
      </c>
      <c r="DB195" s="26">
        <v>0</v>
      </c>
      <c r="DK195" s="26" t="s">
        <v>150</v>
      </c>
      <c r="DL195" s="26" t="s">
        <v>237</v>
      </c>
      <c r="DM195" s="26" t="s">
        <v>3935</v>
      </c>
      <c r="DN195" s="26" t="s">
        <v>3936</v>
      </c>
      <c r="DO195" s="26" t="s">
        <v>3915</v>
      </c>
      <c r="DP195" s="26" t="s">
        <v>3937</v>
      </c>
      <c r="DR195" s="26" t="s">
        <v>189</v>
      </c>
      <c r="DS195" s="26" t="s">
        <v>189</v>
      </c>
      <c r="DT195" s="26" t="s">
        <v>189</v>
      </c>
      <c r="DU195" s="26" t="s">
        <v>189</v>
      </c>
      <c r="DV195" s="26" t="s">
        <v>203</v>
      </c>
      <c r="DW195" s="26" t="s">
        <v>162</v>
      </c>
      <c r="DX195" s="26" t="s">
        <v>162</v>
      </c>
      <c r="DY195" s="26">
        <v>0</v>
      </c>
      <c r="DZ195" s="26" t="s">
        <v>150</v>
      </c>
      <c r="EH195" s="26" t="s">
        <v>189</v>
      </c>
      <c r="EI195" s="26">
        <v>0.14</v>
      </c>
      <c r="EJ195" s="26">
        <v>11.7334</v>
      </c>
      <c r="EK195" s="26">
        <v>26.38</v>
      </c>
      <c r="EL195" s="26" t="s">
        <v>3938</v>
      </c>
      <c r="EM195" s="26" t="s">
        <v>206</v>
      </c>
      <c r="EN195" s="26" t="s">
        <v>207</v>
      </c>
    </row>
    <row r="196" spans="1:144">
      <c r="A196" s="26" t="s">
        <v>145</v>
      </c>
      <c r="B196" s="26" t="s">
        <v>763</v>
      </c>
      <c r="C196" s="26" t="s">
        <v>3939</v>
      </c>
      <c r="D196" s="26" t="s">
        <v>148</v>
      </c>
      <c r="E196" s="26" t="s">
        <v>149</v>
      </c>
      <c r="F196" s="26" t="s">
        <v>152</v>
      </c>
      <c r="G196" s="26" t="s">
        <v>151</v>
      </c>
      <c r="H196" s="26" t="s">
        <v>152</v>
      </c>
      <c r="I196" s="26" t="s">
        <v>153</v>
      </c>
      <c r="J196" s="26" t="s">
        <v>154</v>
      </c>
      <c r="K196" s="26" t="s">
        <v>155</v>
      </c>
      <c r="L196" s="26" t="s">
        <v>1109</v>
      </c>
      <c r="M196" s="26" t="s">
        <v>3940</v>
      </c>
      <c r="N196" s="26" t="s">
        <v>3941</v>
      </c>
      <c r="O196" s="26" t="s">
        <v>3942</v>
      </c>
      <c r="P196" s="26" t="s">
        <v>3943</v>
      </c>
      <c r="Q196" s="26" t="s">
        <v>3944</v>
      </c>
      <c r="R196" s="26">
        <v>322.48742</v>
      </c>
      <c r="S196" s="26" t="s">
        <v>3945</v>
      </c>
      <c r="T196" s="26">
        <v>316.32524</v>
      </c>
      <c r="U196" s="26" t="s">
        <v>217</v>
      </c>
      <c r="V196" s="26" t="s">
        <v>150</v>
      </c>
      <c r="Y196" s="26" t="s">
        <v>3946</v>
      </c>
      <c r="Z196" s="26">
        <v>48.373113</v>
      </c>
      <c r="AA196" s="26">
        <v>0</v>
      </c>
      <c r="AB196" s="26">
        <v>0</v>
      </c>
      <c r="AC196" s="26">
        <v>65</v>
      </c>
      <c r="AD196" s="26" t="s">
        <v>2739</v>
      </c>
      <c r="AE196" s="26" t="s">
        <v>2739</v>
      </c>
      <c r="AF196" s="26">
        <v>68</v>
      </c>
      <c r="AG196" s="26" t="s">
        <v>3947</v>
      </c>
      <c r="AH196" s="26" t="s">
        <v>3948</v>
      </c>
      <c r="AI196" s="26" t="s">
        <v>167</v>
      </c>
      <c r="AJ196" s="26" t="s">
        <v>168</v>
      </c>
      <c r="AK196" s="26" t="s">
        <v>169</v>
      </c>
      <c r="AL196" s="26" t="s">
        <v>162</v>
      </c>
      <c r="AM196" s="26" t="s">
        <v>460</v>
      </c>
      <c r="AN196" s="26" t="s">
        <v>172</v>
      </c>
      <c r="AO196" s="26" t="s">
        <v>659</v>
      </c>
      <c r="AP196" s="26" t="s">
        <v>162</v>
      </c>
      <c r="AQ196" s="26" t="s">
        <v>3949</v>
      </c>
      <c r="AS196" s="26" t="s">
        <v>381</v>
      </c>
      <c r="AU196" s="26" t="s">
        <v>3950</v>
      </c>
      <c r="AV196" s="26" t="s">
        <v>3950</v>
      </c>
      <c r="AX196" s="26" t="s">
        <v>2744</v>
      </c>
      <c r="AY196" s="26" t="s">
        <v>3890</v>
      </c>
      <c r="BC196" s="26" t="s">
        <v>3939</v>
      </c>
      <c r="BD196" s="26" t="s">
        <v>180</v>
      </c>
      <c r="BE196" s="26" t="s">
        <v>181</v>
      </c>
      <c r="BF196" s="26" t="s">
        <v>167</v>
      </c>
      <c r="BH196" s="26" t="s">
        <v>162</v>
      </c>
      <c r="BI196" s="26" t="s">
        <v>182</v>
      </c>
      <c r="BK196" s="26" t="s">
        <v>184</v>
      </c>
      <c r="BL196" s="26" t="s">
        <v>185</v>
      </c>
      <c r="BM196" s="26" t="s">
        <v>186</v>
      </c>
      <c r="BN196" s="26" t="s">
        <v>162</v>
      </c>
      <c r="BP196" s="26">
        <v>0</v>
      </c>
      <c r="BQ196" s="26" t="s">
        <v>666</v>
      </c>
      <c r="BR196" s="26" t="s">
        <v>667</v>
      </c>
      <c r="BS196" s="26" t="s">
        <v>230</v>
      </c>
      <c r="BT196" s="26" t="s">
        <v>185</v>
      </c>
      <c r="BV196" s="26">
        <v>51.5984</v>
      </c>
      <c r="BW196" s="26">
        <v>0.16</v>
      </c>
      <c r="BZ196" s="26" t="s">
        <v>167</v>
      </c>
      <c r="CA196" s="26" t="s">
        <v>189</v>
      </c>
      <c r="CC196" s="26" t="s">
        <v>162</v>
      </c>
      <c r="CD196" s="26">
        <v>0</v>
      </c>
      <c r="CE196" s="26" t="s">
        <v>190</v>
      </c>
      <c r="CF196" s="26" t="s">
        <v>167</v>
      </c>
      <c r="CG196" s="26" t="s">
        <v>3951</v>
      </c>
      <c r="CI196" s="26" t="s">
        <v>191</v>
      </c>
      <c r="CJ196" s="26">
        <v>322.49</v>
      </c>
      <c r="CK196" s="26">
        <v>0</v>
      </c>
      <c r="CL196" s="26">
        <v>16.12</v>
      </c>
      <c r="CM196" s="26">
        <v>46.93</v>
      </c>
      <c r="CQ196" s="26" t="s">
        <v>233</v>
      </c>
      <c r="CR196" s="26" t="s">
        <v>782</v>
      </c>
      <c r="CS196" s="26" t="s">
        <v>3952</v>
      </c>
      <c r="CW196" s="26" t="s">
        <v>2747</v>
      </c>
      <c r="CX196" s="26" t="s">
        <v>162</v>
      </c>
      <c r="CY196" s="26" t="s">
        <v>196</v>
      </c>
      <c r="CZ196" s="26">
        <v>0</v>
      </c>
      <c r="DB196" s="26">
        <v>0</v>
      </c>
      <c r="DK196" s="26" t="s">
        <v>150</v>
      </c>
      <c r="DL196" s="26" t="s">
        <v>581</v>
      </c>
      <c r="DM196" s="26" t="s">
        <v>3953</v>
      </c>
      <c r="DO196" s="26" t="s">
        <v>3954</v>
      </c>
      <c r="DR196" s="26" t="s">
        <v>189</v>
      </c>
      <c r="DS196" s="26" t="s">
        <v>189</v>
      </c>
      <c r="DT196" s="26" t="s">
        <v>189</v>
      </c>
      <c r="DU196" s="26" t="s">
        <v>189</v>
      </c>
      <c r="DV196" s="26" t="s">
        <v>203</v>
      </c>
      <c r="DW196" s="26" t="s">
        <v>162</v>
      </c>
      <c r="DX196" s="26" t="s">
        <v>162</v>
      </c>
      <c r="DY196" s="26">
        <v>0</v>
      </c>
      <c r="DZ196" s="26" t="s">
        <v>150</v>
      </c>
      <c r="EH196" s="26" t="s">
        <v>189</v>
      </c>
      <c r="EI196" s="26">
        <v>0.16</v>
      </c>
      <c r="EJ196" s="26">
        <v>51.5984</v>
      </c>
      <c r="EK196" s="26">
        <v>46.93</v>
      </c>
      <c r="EL196" s="26" t="s">
        <v>3955</v>
      </c>
      <c r="EM196" s="26" t="s">
        <v>206</v>
      </c>
      <c r="EN196" s="26" t="s">
        <v>207</v>
      </c>
    </row>
    <row r="197" spans="1:144">
      <c r="A197" s="26" t="s">
        <v>145</v>
      </c>
      <c r="B197" s="26" t="s">
        <v>763</v>
      </c>
      <c r="C197" s="26" t="s">
        <v>3956</v>
      </c>
      <c r="D197" s="26" t="s">
        <v>148</v>
      </c>
      <c r="E197" s="26" t="s">
        <v>149</v>
      </c>
      <c r="F197" s="26" t="s">
        <v>152</v>
      </c>
      <c r="G197" s="26" t="s">
        <v>151</v>
      </c>
      <c r="H197" s="26" t="s">
        <v>152</v>
      </c>
      <c r="I197" s="26" t="s">
        <v>153</v>
      </c>
      <c r="J197" s="26" t="s">
        <v>154</v>
      </c>
      <c r="K197" s="26" t="s">
        <v>474</v>
      </c>
      <c r="L197" s="26" t="s">
        <v>517</v>
      </c>
      <c r="M197" s="26" t="s">
        <v>3957</v>
      </c>
      <c r="N197" s="26" t="s">
        <v>3958</v>
      </c>
      <c r="O197" s="26" t="s">
        <v>3959</v>
      </c>
      <c r="P197" s="26" t="s">
        <v>3960</v>
      </c>
      <c r="Q197" s="26" t="s">
        <v>603</v>
      </c>
      <c r="R197" s="26">
        <v>204.584376</v>
      </c>
      <c r="S197" s="26" t="s">
        <v>1872</v>
      </c>
      <c r="T197" s="26">
        <v>198.422196</v>
      </c>
      <c r="U197" s="26" t="s">
        <v>162</v>
      </c>
      <c r="V197" s="26" t="s">
        <v>150</v>
      </c>
      <c r="Y197" s="26" t="s">
        <v>3961</v>
      </c>
      <c r="Z197" s="26">
        <v>30.6876564</v>
      </c>
      <c r="AA197" s="26">
        <v>0</v>
      </c>
      <c r="AB197" s="26">
        <v>0</v>
      </c>
      <c r="AC197" s="26">
        <v>34</v>
      </c>
      <c r="AD197" s="26" t="s">
        <v>715</v>
      </c>
      <c r="AE197" s="26" t="s">
        <v>715</v>
      </c>
      <c r="AF197" s="26">
        <v>34</v>
      </c>
      <c r="AG197" s="26" t="s">
        <v>3962</v>
      </c>
      <c r="AI197" s="26" t="s">
        <v>167</v>
      </c>
      <c r="AJ197" s="26" t="s">
        <v>797</v>
      </c>
      <c r="AK197" s="26" t="s">
        <v>798</v>
      </c>
      <c r="AL197" s="26" t="s">
        <v>162</v>
      </c>
      <c r="AM197" s="26" t="s">
        <v>2802</v>
      </c>
      <c r="AN197" s="26" t="s">
        <v>172</v>
      </c>
      <c r="AO197" s="26" t="s">
        <v>494</v>
      </c>
      <c r="AP197" s="26" t="s">
        <v>162</v>
      </c>
      <c r="AQ197" s="26" t="s">
        <v>3963</v>
      </c>
      <c r="AS197" s="26" t="s">
        <v>433</v>
      </c>
      <c r="AT197" s="26" t="s">
        <v>470</v>
      </c>
      <c r="AV197" s="26" t="s">
        <v>150</v>
      </c>
      <c r="AX197" s="26" t="s">
        <v>3064</v>
      </c>
      <c r="AY197" s="26" t="s">
        <v>2335</v>
      </c>
      <c r="BC197" s="26" t="s">
        <v>3956</v>
      </c>
      <c r="BD197" s="26" t="s">
        <v>180</v>
      </c>
      <c r="BE197" s="26" t="s">
        <v>181</v>
      </c>
      <c r="BF197" s="26" t="s">
        <v>167</v>
      </c>
      <c r="BH197" s="26" t="s">
        <v>162</v>
      </c>
      <c r="BI197" s="26" t="s">
        <v>807</v>
      </c>
      <c r="BK197" s="26" t="s">
        <v>184</v>
      </c>
      <c r="BL197" s="26" t="s">
        <v>185</v>
      </c>
      <c r="BM197" s="26" t="s">
        <v>186</v>
      </c>
      <c r="BN197" s="26" t="s">
        <v>162</v>
      </c>
      <c r="BP197" s="26">
        <v>15</v>
      </c>
      <c r="BQ197" s="26" t="s">
        <v>494</v>
      </c>
      <c r="BS197" s="26" t="s">
        <v>230</v>
      </c>
      <c r="BT197" s="26" t="s">
        <v>185</v>
      </c>
      <c r="BV197" s="26">
        <v>32.7328</v>
      </c>
      <c r="BW197" s="26">
        <v>0.16</v>
      </c>
      <c r="BZ197" s="26" t="s">
        <v>167</v>
      </c>
      <c r="CA197" s="26" t="s">
        <v>189</v>
      </c>
      <c r="CC197" s="26" t="s">
        <v>162</v>
      </c>
      <c r="CD197" s="26">
        <v>0</v>
      </c>
      <c r="CE197" s="26" t="s">
        <v>190</v>
      </c>
      <c r="CF197" s="26" t="s">
        <v>167</v>
      </c>
      <c r="CG197" s="26" t="s">
        <v>3964</v>
      </c>
      <c r="CI197" s="26" t="s">
        <v>496</v>
      </c>
      <c r="CJ197" s="26">
        <v>204.58</v>
      </c>
      <c r="CK197" s="26">
        <v>0</v>
      </c>
      <c r="CL197" s="26">
        <v>10.23</v>
      </c>
      <c r="CM197" s="26">
        <v>45.04</v>
      </c>
      <c r="CQ197" s="26" t="s">
        <v>437</v>
      </c>
      <c r="CR197" s="26" t="s">
        <v>782</v>
      </c>
      <c r="CS197" s="26" t="s">
        <v>3965</v>
      </c>
      <c r="CW197" s="26" t="s">
        <v>3966</v>
      </c>
      <c r="CX197" s="26" t="s">
        <v>162</v>
      </c>
      <c r="CY197" s="26" t="s">
        <v>196</v>
      </c>
      <c r="CZ197" s="26">
        <v>0</v>
      </c>
      <c r="DB197" s="26">
        <v>0</v>
      </c>
      <c r="DK197" s="26" t="s">
        <v>150</v>
      </c>
      <c r="DL197" s="26" t="s">
        <v>3967</v>
      </c>
      <c r="DM197" s="26" t="s">
        <v>3968</v>
      </c>
      <c r="DR197" s="26" t="s">
        <v>189</v>
      </c>
      <c r="DS197" s="26" t="s">
        <v>189</v>
      </c>
      <c r="DT197" s="26" t="s">
        <v>189</v>
      </c>
      <c r="DU197" s="26" t="s">
        <v>189</v>
      </c>
      <c r="DV197" s="26" t="s">
        <v>203</v>
      </c>
      <c r="DW197" s="26" t="s">
        <v>162</v>
      </c>
      <c r="DX197" s="26" t="s">
        <v>162</v>
      </c>
      <c r="DY197" s="26">
        <v>0</v>
      </c>
      <c r="DZ197" s="26" t="s">
        <v>150</v>
      </c>
      <c r="EA197" s="26" t="s">
        <v>470</v>
      </c>
      <c r="EB197" s="26" t="s">
        <v>471</v>
      </c>
      <c r="EH197" s="26" t="s">
        <v>189</v>
      </c>
      <c r="EI197" s="26">
        <v>0.16</v>
      </c>
      <c r="EJ197" s="26">
        <v>32.7328</v>
      </c>
      <c r="EK197" s="26">
        <v>45.04</v>
      </c>
      <c r="EL197" s="26" t="s">
        <v>3969</v>
      </c>
      <c r="EM197" s="26" t="s">
        <v>206</v>
      </c>
      <c r="EN197" s="26" t="s">
        <v>207</v>
      </c>
    </row>
    <row r="198" spans="1:144">
      <c r="A198" s="26" t="s">
        <v>145</v>
      </c>
      <c r="B198" s="26" t="s">
        <v>763</v>
      </c>
      <c r="C198" s="26" t="s">
        <v>3970</v>
      </c>
      <c r="D198" s="26" t="s">
        <v>148</v>
      </c>
      <c r="E198" s="26" t="s">
        <v>149</v>
      </c>
      <c r="F198" s="26" t="s">
        <v>152</v>
      </c>
      <c r="G198" s="26" t="s">
        <v>151</v>
      </c>
      <c r="H198" s="26" t="s">
        <v>152</v>
      </c>
      <c r="I198" s="26" t="s">
        <v>153</v>
      </c>
      <c r="J198" s="26" t="s">
        <v>154</v>
      </c>
      <c r="K198" s="26" t="s">
        <v>244</v>
      </c>
      <c r="L198" s="26" t="s">
        <v>245</v>
      </c>
      <c r="M198" s="26" t="s">
        <v>3971</v>
      </c>
      <c r="N198" s="26" t="s">
        <v>3972</v>
      </c>
      <c r="O198" s="26" t="s">
        <v>3973</v>
      </c>
      <c r="P198" s="26" t="s">
        <v>3974</v>
      </c>
      <c r="Q198" s="26" t="s">
        <v>3975</v>
      </c>
      <c r="R198" s="26">
        <v>149.94638</v>
      </c>
      <c r="S198" s="26" t="s">
        <v>770</v>
      </c>
      <c r="T198" s="26">
        <v>143.7842</v>
      </c>
      <c r="U198" s="26" t="s">
        <v>217</v>
      </c>
      <c r="V198" s="26" t="s">
        <v>150</v>
      </c>
      <c r="Y198" s="26" t="s">
        <v>3976</v>
      </c>
      <c r="Z198" s="26">
        <v>22.491957</v>
      </c>
      <c r="AA198" s="26">
        <v>0</v>
      </c>
      <c r="AB198" s="26">
        <v>0</v>
      </c>
      <c r="AC198" s="26">
        <v>22</v>
      </c>
      <c r="AD198" s="26" t="s">
        <v>2194</v>
      </c>
      <c r="AE198" s="26" t="s">
        <v>2194</v>
      </c>
      <c r="AF198" s="26" t="s">
        <v>2194</v>
      </c>
      <c r="AG198" s="26" t="s">
        <v>3977</v>
      </c>
      <c r="AI198" s="26" t="s">
        <v>167</v>
      </c>
      <c r="AJ198" s="26" t="s">
        <v>168</v>
      </c>
      <c r="AK198" s="26" t="s">
        <v>169</v>
      </c>
      <c r="AL198" s="26" t="s">
        <v>1940</v>
      </c>
      <c r="AM198" s="26" t="s">
        <v>1802</v>
      </c>
      <c r="AN198" s="26" t="s">
        <v>172</v>
      </c>
      <c r="AO198" s="26" t="s">
        <v>1213</v>
      </c>
      <c r="AP198" s="26" t="s">
        <v>162</v>
      </c>
      <c r="AQ198" s="26" t="s">
        <v>3978</v>
      </c>
      <c r="AR198" s="26" t="s">
        <v>3979</v>
      </c>
      <c r="AS198" s="26" t="s">
        <v>433</v>
      </c>
      <c r="AT198" s="26" t="s">
        <v>691</v>
      </c>
      <c r="AU198" s="26" t="s">
        <v>3980</v>
      </c>
      <c r="AV198" s="26" t="s">
        <v>3980</v>
      </c>
      <c r="AX198" s="26" t="s">
        <v>3981</v>
      </c>
      <c r="AY198" s="26" t="s">
        <v>179</v>
      </c>
      <c r="BC198" s="26" t="s">
        <v>3970</v>
      </c>
      <c r="BD198" s="26" t="s">
        <v>180</v>
      </c>
      <c r="BE198" s="26" t="s">
        <v>181</v>
      </c>
      <c r="BF198" s="26" t="s">
        <v>167</v>
      </c>
      <c r="BH198" s="26" t="s">
        <v>162</v>
      </c>
      <c r="BI198" s="26" t="s">
        <v>182</v>
      </c>
      <c r="BJ198" s="26" t="s">
        <v>3982</v>
      </c>
      <c r="BK198" s="26" t="s">
        <v>184</v>
      </c>
      <c r="BL198" s="26" t="s">
        <v>185</v>
      </c>
      <c r="BM198" s="26" t="s">
        <v>186</v>
      </c>
      <c r="BN198" s="26" t="s">
        <v>162</v>
      </c>
      <c r="BP198" s="26">
        <v>0</v>
      </c>
      <c r="BR198" s="26" t="s">
        <v>695</v>
      </c>
      <c r="BS198" s="26" t="s">
        <v>230</v>
      </c>
      <c r="BT198" s="26" t="s">
        <v>185</v>
      </c>
      <c r="BV198" s="26">
        <v>23.992</v>
      </c>
      <c r="BW198" s="26">
        <v>0.16</v>
      </c>
      <c r="BZ198" s="26">
        <v>0</v>
      </c>
      <c r="CA198" s="26" t="s">
        <v>189</v>
      </c>
      <c r="CC198" s="26" t="s">
        <v>162</v>
      </c>
      <c r="CD198" s="26">
        <v>0</v>
      </c>
      <c r="CE198" s="26" t="s">
        <v>190</v>
      </c>
      <c r="CF198" s="26" t="s">
        <v>167</v>
      </c>
      <c r="CG198" s="26" t="s">
        <v>3983</v>
      </c>
      <c r="CI198" s="26" t="s">
        <v>267</v>
      </c>
      <c r="CJ198" s="26">
        <v>149.95</v>
      </c>
      <c r="CK198" s="26">
        <v>0</v>
      </c>
      <c r="CL198" s="26">
        <v>7.5</v>
      </c>
      <c r="CM198" s="26">
        <v>31.22</v>
      </c>
      <c r="CQ198" s="26" t="s">
        <v>437</v>
      </c>
      <c r="CR198" s="26" t="s">
        <v>1948</v>
      </c>
      <c r="CS198" s="26" t="s">
        <v>3984</v>
      </c>
      <c r="CW198" s="26" t="s">
        <v>3985</v>
      </c>
      <c r="CX198" s="26" t="s">
        <v>162</v>
      </c>
      <c r="CY198" s="26" t="s">
        <v>196</v>
      </c>
      <c r="CZ198" s="26">
        <v>0</v>
      </c>
      <c r="DB198" s="26">
        <v>0</v>
      </c>
      <c r="DK198" s="26" t="s">
        <v>150</v>
      </c>
      <c r="DL198" s="26" t="s">
        <v>390</v>
      </c>
      <c r="DM198" s="26" t="s">
        <v>3986</v>
      </c>
      <c r="DN198" s="26" t="s">
        <v>3987</v>
      </c>
      <c r="DO198" s="26" t="s">
        <v>3988</v>
      </c>
      <c r="DP198" s="26" t="s">
        <v>3989</v>
      </c>
      <c r="DR198" s="26" t="s">
        <v>189</v>
      </c>
      <c r="DS198" s="26" t="s">
        <v>189</v>
      </c>
      <c r="DT198" s="26" t="s">
        <v>189</v>
      </c>
      <c r="DU198" s="26" t="s">
        <v>189</v>
      </c>
      <c r="DV198" s="26" t="s">
        <v>203</v>
      </c>
      <c r="DW198" s="26" t="s">
        <v>162</v>
      </c>
      <c r="DX198" s="26" t="s">
        <v>162</v>
      </c>
      <c r="DY198" s="26">
        <v>0</v>
      </c>
      <c r="DZ198" s="26" t="s">
        <v>150</v>
      </c>
      <c r="EA198" s="26" t="s">
        <v>534</v>
      </c>
      <c r="EB198" s="26" t="s">
        <v>547</v>
      </c>
      <c r="EH198" s="26" t="s">
        <v>189</v>
      </c>
      <c r="EI198" s="26">
        <v>0.16</v>
      </c>
      <c r="EJ198" s="26">
        <v>23.992</v>
      </c>
      <c r="EK198" s="26">
        <v>31.22</v>
      </c>
      <c r="EL198" s="26" t="s">
        <v>3990</v>
      </c>
      <c r="EM198" s="26" t="s">
        <v>206</v>
      </c>
      <c r="EN198" s="26" t="s">
        <v>207</v>
      </c>
    </row>
    <row r="199" spans="1:144">
      <c r="A199" s="26" t="s">
        <v>145</v>
      </c>
      <c r="B199" s="26" t="s">
        <v>763</v>
      </c>
      <c r="C199" s="26" t="s">
        <v>3991</v>
      </c>
      <c r="D199" s="26" t="s">
        <v>148</v>
      </c>
      <c r="E199" s="26" t="s">
        <v>149</v>
      </c>
      <c r="F199" s="26" t="s">
        <v>152</v>
      </c>
      <c r="G199" s="26" t="s">
        <v>151</v>
      </c>
      <c r="H199" s="26" t="s">
        <v>152</v>
      </c>
      <c r="I199" s="26" t="s">
        <v>153</v>
      </c>
      <c r="J199" s="26" t="s">
        <v>154</v>
      </c>
      <c r="K199" s="26" t="s">
        <v>1075</v>
      </c>
      <c r="L199" s="26" t="s">
        <v>2426</v>
      </c>
      <c r="M199" s="26" t="s">
        <v>3992</v>
      </c>
      <c r="N199" s="26" t="s">
        <v>3993</v>
      </c>
      <c r="O199" s="26" t="s">
        <v>2451</v>
      </c>
      <c r="P199" s="26" t="s">
        <v>2452</v>
      </c>
      <c r="Q199" s="26" t="s">
        <v>1357</v>
      </c>
      <c r="R199" s="26">
        <v>75.178596</v>
      </c>
      <c r="S199" s="26" t="s">
        <v>2431</v>
      </c>
      <c r="T199" s="26">
        <v>69.016416</v>
      </c>
      <c r="U199" s="26" t="s">
        <v>217</v>
      </c>
      <c r="V199" s="26" t="s">
        <v>150</v>
      </c>
      <c r="Y199" s="26" t="s">
        <v>3994</v>
      </c>
      <c r="Z199" s="26">
        <v>11.2767894</v>
      </c>
      <c r="AA199" s="26">
        <v>0</v>
      </c>
      <c r="AB199" s="26">
        <v>0</v>
      </c>
      <c r="AC199" s="26">
        <v>10</v>
      </c>
      <c r="AD199" s="26" t="s">
        <v>3995</v>
      </c>
      <c r="AE199" s="26" t="s">
        <v>3996</v>
      </c>
      <c r="AF199" s="26" t="s">
        <v>3996</v>
      </c>
      <c r="AG199" s="26" t="s">
        <v>3997</v>
      </c>
      <c r="AI199" s="26" t="s">
        <v>167</v>
      </c>
      <c r="AJ199" s="26" t="s">
        <v>168</v>
      </c>
      <c r="AK199" s="26" t="s">
        <v>169</v>
      </c>
      <c r="AL199" s="26" t="s">
        <v>665</v>
      </c>
      <c r="AM199" s="26" t="s">
        <v>1894</v>
      </c>
      <c r="AN199" s="26" t="s">
        <v>172</v>
      </c>
      <c r="AO199" s="26" t="s">
        <v>2436</v>
      </c>
      <c r="AP199" s="26" t="s">
        <v>162</v>
      </c>
      <c r="AQ199" s="26" t="s">
        <v>3998</v>
      </c>
      <c r="AR199" s="26" t="s">
        <v>3999</v>
      </c>
      <c r="AS199" s="26" t="s">
        <v>321</v>
      </c>
      <c r="AU199" s="26" t="s">
        <v>4000</v>
      </c>
      <c r="AV199" s="26" t="s">
        <v>4000</v>
      </c>
      <c r="AX199" s="26" t="s">
        <v>2440</v>
      </c>
      <c r="AY199" s="26" t="s">
        <v>179</v>
      </c>
      <c r="BC199" s="26" t="s">
        <v>3991</v>
      </c>
      <c r="BD199" s="26" t="s">
        <v>180</v>
      </c>
      <c r="BE199" s="26" t="s">
        <v>1007</v>
      </c>
      <c r="BF199" s="26" t="s">
        <v>167</v>
      </c>
      <c r="BH199" s="26" t="s">
        <v>162</v>
      </c>
      <c r="BI199" s="26" t="s">
        <v>182</v>
      </c>
      <c r="BJ199" s="26" t="s">
        <v>481</v>
      </c>
      <c r="BK199" s="26" t="s">
        <v>184</v>
      </c>
      <c r="BL199" s="26" t="s">
        <v>185</v>
      </c>
      <c r="BM199" s="26" t="s">
        <v>186</v>
      </c>
      <c r="BN199" s="26" t="s">
        <v>162</v>
      </c>
      <c r="BP199" s="26">
        <v>0</v>
      </c>
      <c r="BQ199" s="26" t="s">
        <v>2442</v>
      </c>
      <c r="BS199" s="26" t="s">
        <v>304</v>
      </c>
      <c r="BT199" s="26" t="s">
        <v>185</v>
      </c>
      <c r="BV199" s="26">
        <v>10.5252</v>
      </c>
      <c r="BW199" s="26">
        <v>0.14</v>
      </c>
      <c r="BZ199" s="26">
        <v>0</v>
      </c>
      <c r="CA199" s="26" t="s">
        <v>189</v>
      </c>
      <c r="CC199" s="26" t="s">
        <v>162</v>
      </c>
      <c r="CD199" s="26">
        <v>0</v>
      </c>
      <c r="CE199" s="26" t="s">
        <v>190</v>
      </c>
      <c r="CF199" s="26" t="s">
        <v>167</v>
      </c>
      <c r="CG199" s="26" t="s">
        <v>3234</v>
      </c>
      <c r="CI199" s="26" t="s">
        <v>1095</v>
      </c>
      <c r="CJ199" s="26">
        <v>75.18</v>
      </c>
      <c r="CK199" s="26">
        <v>0</v>
      </c>
      <c r="CL199" s="26">
        <v>3.76</v>
      </c>
      <c r="CM199" s="26">
        <v>12.37</v>
      </c>
      <c r="CQ199" s="26" t="s">
        <v>233</v>
      </c>
      <c r="CR199" s="26" t="s">
        <v>4001</v>
      </c>
      <c r="CS199" s="26" t="s">
        <v>4002</v>
      </c>
      <c r="CW199" s="26" t="s">
        <v>2446</v>
      </c>
      <c r="CX199" s="26" t="s">
        <v>162</v>
      </c>
      <c r="CY199" s="26" t="s">
        <v>196</v>
      </c>
      <c r="CZ199" s="26">
        <v>0</v>
      </c>
      <c r="DB199" s="26">
        <v>0</v>
      </c>
      <c r="DK199" s="26" t="s">
        <v>150</v>
      </c>
      <c r="DL199" s="26" t="s">
        <v>1421</v>
      </c>
      <c r="DM199" s="26" t="s">
        <v>4003</v>
      </c>
      <c r="DN199" s="26" t="s">
        <v>4004</v>
      </c>
      <c r="DO199" s="26" t="s">
        <v>4005</v>
      </c>
      <c r="DP199" s="26" t="s">
        <v>4006</v>
      </c>
      <c r="DR199" s="26" t="s">
        <v>189</v>
      </c>
      <c r="DS199" s="26" t="s">
        <v>189</v>
      </c>
      <c r="DT199" s="26" t="s">
        <v>189</v>
      </c>
      <c r="DU199" s="26" t="s">
        <v>189</v>
      </c>
      <c r="DV199" s="26" t="s">
        <v>203</v>
      </c>
      <c r="DW199" s="26" t="s">
        <v>162</v>
      </c>
      <c r="DX199" s="26" t="s">
        <v>162</v>
      </c>
      <c r="DY199" s="26">
        <v>0</v>
      </c>
      <c r="DZ199" s="26" t="s">
        <v>150</v>
      </c>
      <c r="EH199" s="26" t="s">
        <v>189</v>
      </c>
      <c r="EI199" s="26">
        <v>0.14</v>
      </c>
      <c r="EJ199" s="26">
        <v>10.5252</v>
      </c>
      <c r="EK199" s="26">
        <v>12.37</v>
      </c>
      <c r="EL199" s="26" t="s">
        <v>2458</v>
      </c>
      <c r="EM199" s="26" t="s">
        <v>206</v>
      </c>
      <c r="EN199" s="26" t="s">
        <v>207</v>
      </c>
    </row>
    <row r="200" spans="1:144">
      <c r="A200" s="26" t="s">
        <v>145</v>
      </c>
      <c r="B200" s="26" t="s">
        <v>763</v>
      </c>
      <c r="C200" s="26" t="s">
        <v>4007</v>
      </c>
      <c r="D200" s="26" t="s">
        <v>148</v>
      </c>
      <c r="E200" s="26" t="s">
        <v>149</v>
      </c>
      <c r="F200" s="26" t="s">
        <v>152</v>
      </c>
      <c r="G200" s="26" t="s">
        <v>151</v>
      </c>
      <c r="H200" s="26" t="s">
        <v>152</v>
      </c>
      <c r="I200" s="26" t="s">
        <v>153</v>
      </c>
      <c r="J200" s="26" t="s">
        <v>154</v>
      </c>
      <c r="K200" s="26" t="s">
        <v>1075</v>
      </c>
      <c r="L200" s="26" t="s">
        <v>2426</v>
      </c>
      <c r="M200" s="26" t="s">
        <v>4008</v>
      </c>
      <c r="N200" s="26" t="s">
        <v>4009</v>
      </c>
      <c r="O200" s="26" t="s">
        <v>4010</v>
      </c>
      <c r="P200" s="26" t="s">
        <v>4011</v>
      </c>
      <c r="Q200" s="26" t="s">
        <v>2854</v>
      </c>
      <c r="R200" s="26">
        <v>67.373168</v>
      </c>
      <c r="S200" s="26" t="s">
        <v>4012</v>
      </c>
      <c r="T200" s="26">
        <v>61.210988</v>
      </c>
      <c r="U200" s="26" t="s">
        <v>217</v>
      </c>
      <c r="V200" s="26" t="s">
        <v>150</v>
      </c>
      <c r="Y200" s="26" t="s">
        <v>4013</v>
      </c>
      <c r="Z200" s="26">
        <v>10.1059752</v>
      </c>
      <c r="AA200" s="26">
        <v>0</v>
      </c>
      <c r="AB200" s="26">
        <v>0</v>
      </c>
      <c r="AC200" s="26">
        <v>9</v>
      </c>
      <c r="AD200" s="26" t="s">
        <v>1358</v>
      </c>
      <c r="AE200" s="26" t="s">
        <v>1358</v>
      </c>
      <c r="AF200" s="26" t="s">
        <v>1358</v>
      </c>
      <c r="AG200" s="26" t="s">
        <v>4014</v>
      </c>
      <c r="AI200" s="26" t="s">
        <v>167</v>
      </c>
      <c r="AJ200" s="26" t="s">
        <v>168</v>
      </c>
      <c r="AK200" s="26" t="s">
        <v>169</v>
      </c>
      <c r="AL200" s="26" t="s">
        <v>4015</v>
      </c>
      <c r="AM200" s="26" t="s">
        <v>4016</v>
      </c>
      <c r="AN200" s="26" t="s">
        <v>172</v>
      </c>
      <c r="AO200" s="26" t="s">
        <v>3085</v>
      </c>
      <c r="AP200" s="26" t="s">
        <v>162</v>
      </c>
      <c r="AQ200" s="26" t="s">
        <v>4017</v>
      </c>
      <c r="AR200" s="26" t="s">
        <v>4018</v>
      </c>
      <c r="AS200" s="26" t="s">
        <v>3147</v>
      </c>
      <c r="AU200" s="26" t="s">
        <v>4019</v>
      </c>
      <c r="AV200" s="26" t="s">
        <v>4019</v>
      </c>
      <c r="AX200" s="26" t="s">
        <v>3089</v>
      </c>
      <c r="AY200" s="26" t="s">
        <v>179</v>
      </c>
      <c r="BC200" s="26" t="s">
        <v>4007</v>
      </c>
      <c r="BD200" s="26" t="s">
        <v>180</v>
      </c>
      <c r="BE200" s="26" t="s">
        <v>1007</v>
      </c>
      <c r="BF200" s="26" t="s">
        <v>167</v>
      </c>
      <c r="BH200" s="26" t="s">
        <v>162</v>
      </c>
      <c r="BI200" s="26" t="s">
        <v>182</v>
      </c>
      <c r="BJ200" s="26" t="s">
        <v>3482</v>
      </c>
      <c r="BK200" s="26" t="s">
        <v>1902</v>
      </c>
      <c r="BL200" s="26" t="s">
        <v>185</v>
      </c>
      <c r="BM200" s="26" t="s">
        <v>186</v>
      </c>
      <c r="BN200" s="26" t="s">
        <v>162</v>
      </c>
      <c r="BP200" s="26">
        <v>0</v>
      </c>
      <c r="BQ200" s="26" t="s">
        <v>494</v>
      </c>
      <c r="BS200" s="26" t="s">
        <v>230</v>
      </c>
      <c r="BT200" s="26" t="s">
        <v>185</v>
      </c>
      <c r="BV200" s="26">
        <v>9.4318</v>
      </c>
      <c r="BW200" s="26">
        <v>0.14</v>
      </c>
      <c r="BZ200" s="26">
        <v>0</v>
      </c>
      <c r="CA200" s="26" t="s">
        <v>189</v>
      </c>
      <c r="CC200" s="26" t="s">
        <v>162</v>
      </c>
      <c r="CD200" s="26">
        <v>0</v>
      </c>
      <c r="CE200" s="26" t="s">
        <v>190</v>
      </c>
      <c r="CF200" s="26" t="s">
        <v>167</v>
      </c>
      <c r="CG200" s="26" t="s">
        <v>3090</v>
      </c>
      <c r="CI200" s="26" t="s">
        <v>1095</v>
      </c>
      <c r="CJ200" s="26">
        <v>67.37</v>
      </c>
      <c r="CK200" s="26">
        <v>0</v>
      </c>
      <c r="CL200" s="26">
        <v>3.37</v>
      </c>
      <c r="CM200" s="26">
        <v>12.36</v>
      </c>
      <c r="CQ200" s="26" t="s">
        <v>605</v>
      </c>
      <c r="CR200" s="26" t="s">
        <v>4020</v>
      </c>
      <c r="CS200" s="26" t="s">
        <v>4021</v>
      </c>
      <c r="CW200" s="26" t="s">
        <v>3092</v>
      </c>
      <c r="CX200" s="26" t="s">
        <v>167</v>
      </c>
      <c r="CY200" s="26" t="s">
        <v>196</v>
      </c>
      <c r="CZ200" s="26">
        <v>0</v>
      </c>
      <c r="DB200" s="26">
        <v>0</v>
      </c>
      <c r="DK200" s="26" t="s">
        <v>150</v>
      </c>
      <c r="DL200" s="26" t="s">
        <v>390</v>
      </c>
      <c r="DM200" s="26" t="s">
        <v>4022</v>
      </c>
      <c r="DN200" s="26" t="s">
        <v>4023</v>
      </c>
      <c r="DO200" s="26" t="s">
        <v>4005</v>
      </c>
      <c r="DP200" s="26" t="s">
        <v>4024</v>
      </c>
      <c r="DR200" s="26" t="s">
        <v>189</v>
      </c>
      <c r="DS200" s="26" t="s">
        <v>189</v>
      </c>
      <c r="DT200" s="26" t="s">
        <v>189</v>
      </c>
      <c r="DU200" s="26" t="s">
        <v>189</v>
      </c>
      <c r="DV200" s="26" t="s">
        <v>203</v>
      </c>
      <c r="DW200" s="26" t="s">
        <v>162</v>
      </c>
      <c r="DX200" s="26" t="s">
        <v>162</v>
      </c>
      <c r="DY200" s="26">
        <v>0</v>
      </c>
      <c r="DZ200" s="26" t="s">
        <v>150</v>
      </c>
      <c r="EH200" s="26" t="s">
        <v>189</v>
      </c>
      <c r="EI200" s="26">
        <v>0.14</v>
      </c>
      <c r="EJ200" s="26">
        <v>9.4318</v>
      </c>
      <c r="EK200" s="26">
        <v>12.36</v>
      </c>
      <c r="EL200" s="26" t="s">
        <v>4025</v>
      </c>
      <c r="EM200" s="26" t="s">
        <v>206</v>
      </c>
      <c r="EN200" s="26" t="s">
        <v>207</v>
      </c>
    </row>
    <row r="201" spans="1:144">
      <c r="A201" s="26" t="s">
        <v>145</v>
      </c>
      <c r="B201" s="26" t="s">
        <v>763</v>
      </c>
      <c r="C201" s="26" t="s">
        <v>4026</v>
      </c>
      <c r="D201" s="26" t="s">
        <v>148</v>
      </c>
      <c r="E201" s="26" t="s">
        <v>149</v>
      </c>
      <c r="F201" s="26" t="s">
        <v>152</v>
      </c>
      <c r="G201" s="26" t="s">
        <v>151</v>
      </c>
      <c r="H201" s="26" t="s">
        <v>152</v>
      </c>
      <c r="I201" s="26" t="s">
        <v>153</v>
      </c>
      <c r="J201" s="26" t="s">
        <v>154</v>
      </c>
      <c r="K201" s="26" t="s">
        <v>1075</v>
      </c>
      <c r="L201" s="26" t="s">
        <v>4027</v>
      </c>
      <c r="M201" s="26" t="s">
        <v>4028</v>
      </c>
      <c r="N201" s="26" t="s">
        <v>4029</v>
      </c>
      <c r="O201" s="26" t="s">
        <v>4030</v>
      </c>
      <c r="P201" s="26" t="s">
        <v>4031</v>
      </c>
      <c r="Q201" s="26" t="s">
        <v>2518</v>
      </c>
      <c r="R201" s="26">
        <v>80.10834</v>
      </c>
      <c r="S201" s="26" t="s">
        <v>1639</v>
      </c>
      <c r="T201" s="26">
        <v>73.94616</v>
      </c>
      <c r="U201" s="26" t="s">
        <v>217</v>
      </c>
      <c r="V201" s="26" t="s">
        <v>150</v>
      </c>
      <c r="Y201" s="26" t="s">
        <v>4032</v>
      </c>
      <c r="Z201" s="26">
        <v>12.016251</v>
      </c>
      <c r="AA201" s="26">
        <v>0</v>
      </c>
      <c r="AB201" s="26">
        <v>0</v>
      </c>
      <c r="AC201" s="26">
        <v>4.5</v>
      </c>
      <c r="AD201" s="26" t="s">
        <v>4033</v>
      </c>
      <c r="AE201" s="26" t="s">
        <v>4033</v>
      </c>
      <c r="AF201" s="26" t="s">
        <v>4033</v>
      </c>
      <c r="AG201" s="26" t="s">
        <v>4034</v>
      </c>
      <c r="AI201" s="26" t="s">
        <v>167</v>
      </c>
      <c r="AJ201" s="26" t="s">
        <v>168</v>
      </c>
      <c r="AK201" s="26" t="s">
        <v>169</v>
      </c>
      <c r="AL201" s="26" t="s">
        <v>3272</v>
      </c>
      <c r="AM201" s="26" t="s">
        <v>217</v>
      </c>
      <c r="AN201" s="26" t="s">
        <v>172</v>
      </c>
      <c r="AO201" s="26" t="s">
        <v>494</v>
      </c>
      <c r="AP201" s="26" t="s">
        <v>162</v>
      </c>
      <c r="AQ201" s="26" t="s">
        <v>4035</v>
      </c>
      <c r="AR201" s="26" t="s">
        <v>4036</v>
      </c>
      <c r="AS201" s="26" t="s">
        <v>1439</v>
      </c>
      <c r="AU201" s="26" t="s">
        <v>4037</v>
      </c>
      <c r="AV201" s="26" t="s">
        <v>4037</v>
      </c>
      <c r="AX201" s="26" t="s">
        <v>4038</v>
      </c>
      <c r="AY201" s="26" t="s">
        <v>179</v>
      </c>
      <c r="BC201" s="26" t="s">
        <v>4026</v>
      </c>
      <c r="BD201" s="26" t="s">
        <v>180</v>
      </c>
      <c r="BE201" s="26" t="s">
        <v>181</v>
      </c>
      <c r="BF201" s="26" t="s">
        <v>167</v>
      </c>
      <c r="BH201" s="26" t="s">
        <v>162</v>
      </c>
      <c r="BI201" s="26" t="s">
        <v>182</v>
      </c>
      <c r="BJ201" s="26" t="s">
        <v>4039</v>
      </c>
      <c r="BK201" s="26" t="s">
        <v>184</v>
      </c>
      <c r="BL201" s="26" t="s">
        <v>185</v>
      </c>
      <c r="BM201" s="26" t="s">
        <v>186</v>
      </c>
      <c r="BN201" s="26" t="s">
        <v>162</v>
      </c>
      <c r="BP201" s="26">
        <v>0</v>
      </c>
      <c r="BQ201" s="26" t="s">
        <v>494</v>
      </c>
      <c r="BS201" s="26" t="s">
        <v>230</v>
      </c>
      <c r="BT201" s="26" t="s">
        <v>185</v>
      </c>
      <c r="BV201" s="26">
        <v>11.2154</v>
      </c>
      <c r="BW201" s="26">
        <v>0.14</v>
      </c>
      <c r="BZ201" s="26">
        <v>0</v>
      </c>
      <c r="CA201" s="26" t="s">
        <v>189</v>
      </c>
      <c r="CC201" s="26" t="s">
        <v>162</v>
      </c>
      <c r="CD201" s="26">
        <v>0</v>
      </c>
      <c r="CE201" s="26" t="s">
        <v>190</v>
      </c>
      <c r="CF201" s="26" t="s">
        <v>167</v>
      </c>
      <c r="CG201" s="26" t="s">
        <v>4040</v>
      </c>
      <c r="CI201" s="26" t="s">
        <v>1095</v>
      </c>
      <c r="CJ201" s="26">
        <v>80.11</v>
      </c>
      <c r="CK201" s="26">
        <v>0</v>
      </c>
      <c r="CL201" s="26">
        <v>4.01</v>
      </c>
      <c r="CM201" s="26">
        <v>25.27</v>
      </c>
      <c r="CQ201" s="26" t="s">
        <v>605</v>
      </c>
      <c r="CR201" s="26" t="s">
        <v>3932</v>
      </c>
      <c r="CS201" s="26" t="s">
        <v>4041</v>
      </c>
      <c r="CW201" s="26" t="s">
        <v>4042</v>
      </c>
      <c r="CX201" s="26" t="s">
        <v>162</v>
      </c>
      <c r="CY201" s="26" t="s">
        <v>196</v>
      </c>
      <c r="CZ201" s="26">
        <v>0</v>
      </c>
      <c r="DB201" s="26">
        <v>0</v>
      </c>
      <c r="DK201" s="26" t="s">
        <v>150</v>
      </c>
      <c r="DL201" s="26" t="s">
        <v>1446</v>
      </c>
      <c r="DM201" s="26" t="s">
        <v>4043</v>
      </c>
      <c r="DN201" s="26" t="s">
        <v>4044</v>
      </c>
      <c r="DO201" s="26" t="s">
        <v>4045</v>
      </c>
      <c r="DP201" s="26" t="s">
        <v>4046</v>
      </c>
      <c r="DR201" s="26" t="s">
        <v>189</v>
      </c>
      <c r="DS201" s="26" t="s">
        <v>189</v>
      </c>
      <c r="DT201" s="26" t="s">
        <v>189</v>
      </c>
      <c r="DU201" s="26" t="s">
        <v>189</v>
      </c>
      <c r="DV201" s="26" t="s">
        <v>203</v>
      </c>
      <c r="DW201" s="26" t="s">
        <v>162</v>
      </c>
      <c r="DX201" s="26" t="s">
        <v>162</v>
      </c>
      <c r="DY201" s="26">
        <v>0</v>
      </c>
      <c r="DZ201" s="26" t="s">
        <v>150</v>
      </c>
      <c r="EH201" s="26" t="s">
        <v>189</v>
      </c>
      <c r="EI201" s="26">
        <v>0.14</v>
      </c>
      <c r="EJ201" s="26">
        <v>11.2154</v>
      </c>
      <c r="EK201" s="26">
        <v>25.27</v>
      </c>
      <c r="EL201" s="26" t="s">
        <v>4047</v>
      </c>
      <c r="EM201" s="26" t="s">
        <v>206</v>
      </c>
      <c r="EN201" s="26" t="s">
        <v>207</v>
      </c>
    </row>
    <row r="202" spans="1:144">
      <c r="A202" s="26" t="s">
        <v>145</v>
      </c>
      <c r="B202" s="26" t="s">
        <v>763</v>
      </c>
      <c r="C202" s="26" t="s">
        <v>4048</v>
      </c>
      <c r="D202" s="26" t="s">
        <v>148</v>
      </c>
      <c r="E202" s="26" t="s">
        <v>149</v>
      </c>
      <c r="F202" s="26" t="s">
        <v>152</v>
      </c>
      <c r="G202" s="26" t="s">
        <v>151</v>
      </c>
      <c r="H202" s="26" t="s">
        <v>152</v>
      </c>
      <c r="I202" s="26" t="s">
        <v>153</v>
      </c>
      <c r="J202" s="26" t="s">
        <v>154</v>
      </c>
      <c r="K202" s="26" t="s">
        <v>1075</v>
      </c>
      <c r="L202" s="26" t="s">
        <v>2186</v>
      </c>
      <c r="M202" s="26" t="s">
        <v>4049</v>
      </c>
      <c r="N202" s="26" t="s">
        <v>4050</v>
      </c>
      <c r="O202" s="26" t="s">
        <v>4051</v>
      </c>
      <c r="P202" s="26" t="s">
        <v>4052</v>
      </c>
      <c r="Q202" s="26" t="s">
        <v>4053</v>
      </c>
      <c r="R202" s="26">
        <v>273.18998</v>
      </c>
      <c r="S202" s="26" t="s">
        <v>2991</v>
      </c>
      <c r="T202" s="26">
        <v>80.929964</v>
      </c>
      <c r="U202" s="26" t="s">
        <v>217</v>
      </c>
      <c r="V202" s="26" t="s">
        <v>150</v>
      </c>
      <c r="Y202" s="26" t="s">
        <v>4054</v>
      </c>
      <c r="Z202" s="26">
        <v>13.659499</v>
      </c>
      <c r="AA202" s="26">
        <v>0</v>
      </c>
      <c r="AB202" s="26">
        <v>0</v>
      </c>
      <c r="AC202" s="26">
        <v>8.5</v>
      </c>
      <c r="AD202" s="26" t="s">
        <v>1565</v>
      </c>
      <c r="AE202" s="26" t="s">
        <v>1565</v>
      </c>
      <c r="AF202" s="26">
        <v>8.5</v>
      </c>
      <c r="AG202" s="26" t="s">
        <v>4055</v>
      </c>
      <c r="AI202" s="26" t="s">
        <v>167</v>
      </c>
      <c r="AJ202" s="26" t="s">
        <v>168</v>
      </c>
      <c r="AK202" s="26" t="s">
        <v>169</v>
      </c>
      <c r="AL202" s="26" t="s">
        <v>162</v>
      </c>
      <c r="AM202" s="26" t="s">
        <v>754</v>
      </c>
      <c r="AN202" s="26" t="s">
        <v>172</v>
      </c>
      <c r="AO202" s="26" t="s">
        <v>494</v>
      </c>
      <c r="AP202" s="26" t="s">
        <v>162</v>
      </c>
      <c r="AQ202" s="26" t="s">
        <v>4056</v>
      </c>
      <c r="AS202" s="26" t="s">
        <v>2863</v>
      </c>
      <c r="AT202" s="26" t="s">
        <v>4057</v>
      </c>
      <c r="AU202" s="26" t="s">
        <v>4058</v>
      </c>
      <c r="AV202" s="26" t="s">
        <v>4058</v>
      </c>
      <c r="AX202" s="26" t="s">
        <v>4059</v>
      </c>
      <c r="AY202" s="26" t="s">
        <v>4060</v>
      </c>
      <c r="BC202" s="26" t="s">
        <v>4048</v>
      </c>
      <c r="BD202" s="26" t="s">
        <v>180</v>
      </c>
      <c r="BE202" s="26" t="s">
        <v>1007</v>
      </c>
      <c r="BF202" s="26" t="s">
        <v>167</v>
      </c>
      <c r="BH202" s="26" t="s">
        <v>162</v>
      </c>
      <c r="BI202" s="26" t="s">
        <v>182</v>
      </c>
      <c r="BK202" s="26" t="s">
        <v>302</v>
      </c>
      <c r="BL202" s="26" t="s">
        <v>185</v>
      </c>
      <c r="BM202" s="26" t="s">
        <v>186</v>
      </c>
      <c r="BN202" s="26" t="s">
        <v>162</v>
      </c>
      <c r="BP202" s="26">
        <v>0</v>
      </c>
      <c r="BQ202" s="26" t="s">
        <v>494</v>
      </c>
      <c r="BS202" s="26" t="s">
        <v>230</v>
      </c>
      <c r="BT202" s="26" t="s">
        <v>185</v>
      </c>
      <c r="BV202" s="26">
        <v>12.1926</v>
      </c>
      <c r="BW202" s="26">
        <v>0.14</v>
      </c>
      <c r="BZ202" s="26" t="s">
        <v>167</v>
      </c>
      <c r="CA202" s="26" t="s">
        <v>189</v>
      </c>
      <c r="CC202" s="26" t="s">
        <v>162</v>
      </c>
      <c r="CD202" s="26">
        <v>0</v>
      </c>
      <c r="CE202" s="26" t="s">
        <v>190</v>
      </c>
      <c r="CF202" s="26" t="s">
        <v>167</v>
      </c>
      <c r="CG202" s="26" t="s">
        <v>4061</v>
      </c>
      <c r="CI202" s="26" t="s">
        <v>1095</v>
      </c>
      <c r="CJ202" s="26">
        <v>87.09</v>
      </c>
      <c r="CK202" s="26">
        <v>0</v>
      </c>
      <c r="CL202" s="26">
        <v>4.35</v>
      </c>
      <c r="CM202" s="26">
        <v>36.37</v>
      </c>
      <c r="CQ202" s="26" t="s">
        <v>437</v>
      </c>
      <c r="CR202" s="26" t="s">
        <v>782</v>
      </c>
      <c r="CS202" s="26" t="s">
        <v>4062</v>
      </c>
      <c r="CW202" s="26" t="s">
        <v>4063</v>
      </c>
      <c r="CX202" s="26" t="s">
        <v>162</v>
      </c>
      <c r="CY202" s="26" t="s">
        <v>196</v>
      </c>
      <c r="CZ202" s="26">
        <v>0</v>
      </c>
      <c r="DB202" s="26">
        <v>0</v>
      </c>
      <c r="DK202" s="26" t="s">
        <v>150</v>
      </c>
      <c r="DL202" s="26" t="s">
        <v>3514</v>
      </c>
      <c r="DM202" s="26" t="s">
        <v>4064</v>
      </c>
      <c r="DO202" s="26" t="s">
        <v>4065</v>
      </c>
      <c r="DR202" s="26" t="s">
        <v>189</v>
      </c>
      <c r="DS202" s="26" t="s">
        <v>189</v>
      </c>
      <c r="DT202" s="26" t="s">
        <v>189</v>
      </c>
      <c r="DU202" s="26" t="s">
        <v>189</v>
      </c>
      <c r="DV202" s="26" t="s">
        <v>203</v>
      </c>
      <c r="DW202" s="26" t="s">
        <v>162</v>
      </c>
      <c r="DX202" s="26" t="s">
        <v>162</v>
      </c>
      <c r="DY202" s="26">
        <v>0</v>
      </c>
      <c r="DZ202" s="26" t="s">
        <v>150</v>
      </c>
      <c r="EA202" s="26" t="s">
        <v>470</v>
      </c>
      <c r="EB202" s="26" t="s">
        <v>471</v>
      </c>
      <c r="EH202" s="26" t="s">
        <v>189</v>
      </c>
      <c r="EI202" s="26">
        <v>0.14</v>
      </c>
      <c r="EJ202" s="26">
        <v>12.1926</v>
      </c>
      <c r="EK202" s="26">
        <v>36.37</v>
      </c>
      <c r="EL202" s="26" t="s">
        <v>4066</v>
      </c>
      <c r="EM202" s="26" t="s">
        <v>206</v>
      </c>
      <c r="EN202" s="26" t="s">
        <v>207</v>
      </c>
    </row>
    <row r="203" spans="1:144">
      <c r="A203" s="26" t="s">
        <v>145</v>
      </c>
      <c r="B203" s="26" t="s">
        <v>763</v>
      </c>
      <c r="C203" s="26" t="s">
        <v>4048</v>
      </c>
      <c r="D203" s="26" t="s">
        <v>148</v>
      </c>
      <c r="E203" s="26" t="s">
        <v>149</v>
      </c>
      <c r="F203" s="26" t="s">
        <v>152</v>
      </c>
      <c r="G203" s="26" t="s">
        <v>151</v>
      </c>
      <c r="H203" s="26" t="s">
        <v>152</v>
      </c>
      <c r="I203" s="26" t="s">
        <v>153</v>
      </c>
      <c r="J203" s="26" t="s">
        <v>154</v>
      </c>
      <c r="K203" s="26" t="s">
        <v>1075</v>
      </c>
      <c r="L203" s="26" t="s">
        <v>2426</v>
      </c>
      <c r="M203" s="26" t="s">
        <v>4049</v>
      </c>
      <c r="O203" s="26" t="s">
        <v>4067</v>
      </c>
      <c r="P203" s="26" t="s">
        <v>4068</v>
      </c>
      <c r="S203" s="26" t="s">
        <v>537</v>
      </c>
      <c r="T203" s="26">
        <v>64.497484</v>
      </c>
      <c r="U203" s="26" t="s">
        <v>217</v>
      </c>
      <c r="V203" s="26" t="s">
        <v>150</v>
      </c>
      <c r="Y203" s="26" t="s">
        <v>4054</v>
      </c>
      <c r="Z203" s="26">
        <v>13.659499</v>
      </c>
      <c r="AA203" s="26">
        <v>0</v>
      </c>
      <c r="AB203" s="26">
        <v>0</v>
      </c>
      <c r="AC203" s="26">
        <v>10</v>
      </c>
      <c r="AD203" s="26" t="s">
        <v>3131</v>
      </c>
      <c r="AE203" s="26" t="s">
        <v>3131</v>
      </c>
      <c r="AF203" s="26">
        <v>10</v>
      </c>
      <c r="AG203" s="26" t="s">
        <v>4069</v>
      </c>
      <c r="AI203" s="26" t="s">
        <v>167</v>
      </c>
      <c r="AJ203" s="26" t="s">
        <v>168</v>
      </c>
      <c r="AK203" s="26" t="s">
        <v>169</v>
      </c>
      <c r="AM203" s="26" t="s">
        <v>1570</v>
      </c>
      <c r="AN203" s="26" t="s">
        <v>172</v>
      </c>
      <c r="AO203" s="26" t="s">
        <v>4070</v>
      </c>
      <c r="AP203" s="26" t="s">
        <v>162</v>
      </c>
      <c r="AQ203" s="26" t="s">
        <v>4056</v>
      </c>
      <c r="AS203" s="26" t="s">
        <v>4071</v>
      </c>
      <c r="AU203" s="26" t="s">
        <v>4058</v>
      </c>
      <c r="AV203" s="26" t="s">
        <v>4058</v>
      </c>
      <c r="AX203" s="26" t="s">
        <v>4072</v>
      </c>
      <c r="AY203" s="26" t="s">
        <v>4060</v>
      </c>
      <c r="BC203" s="26" t="s">
        <v>4048</v>
      </c>
      <c r="BD203" s="26" t="s">
        <v>180</v>
      </c>
      <c r="BE203" s="26" t="s">
        <v>1007</v>
      </c>
      <c r="BF203" s="26" t="s">
        <v>167</v>
      </c>
      <c r="BH203" s="26" t="s">
        <v>162</v>
      </c>
      <c r="BI203" s="26" t="s">
        <v>182</v>
      </c>
      <c r="BK203" s="26" t="s">
        <v>302</v>
      </c>
      <c r="BL203" s="26" t="s">
        <v>185</v>
      </c>
      <c r="BM203" s="26" t="s">
        <v>186</v>
      </c>
      <c r="BN203" s="26" t="s">
        <v>162</v>
      </c>
      <c r="BP203" s="26">
        <v>0</v>
      </c>
      <c r="BQ203" s="26" t="s">
        <v>494</v>
      </c>
      <c r="BS203" s="26" t="s">
        <v>230</v>
      </c>
      <c r="BT203" s="26" t="s">
        <v>185</v>
      </c>
      <c r="BV203" s="26">
        <v>9.8924</v>
      </c>
      <c r="BW203" s="26">
        <v>0.14</v>
      </c>
      <c r="BZ203" s="26" t="s">
        <v>167</v>
      </c>
      <c r="CA203" s="26" t="s">
        <v>189</v>
      </c>
      <c r="CC203" s="26" t="s">
        <v>162</v>
      </c>
      <c r="CD203" s="26">
        <v>0</v>
      </c>
      <c r="CE203" s="26" t="s">
        <v>190</v>
      </c>
      <c r="CF203" s="26" t="s">
        <v>195</v>
      </c>
      <c r="CG203" s="26" t="s">
        <v>4073</v>
      </c>
      <c r="CI203" s="26" t="s">
        <v>1095</v>
      </c>
      <c r="CJ203" s="26">
        <v>70.66</v>
      </c>
      <c r="CK203" s="26">
        <v>0</v>
      </c>
      <c r="CL203" s="26">
        <v>3.53</v>
      </c>
      <c r="CM203" s="26">
        <v>26.28</v>
      </c>
      <c r="CQ203" s="26" t="s">
        <v>233</v>
      </c>
      <c r="CR203" s="26" t="s">
        <v>782</v>
      </c>
      <c r="CS203" s="26" t="s">
        <v>4062</v>
      </c>
      <c r="CW203" s="26" t="s">
        <v>4074</v>
      </c>
      <c r="CX203" s="26" t="s">
        <v>305</v>
      </c>
      <c r="CY203" s="26" t="s">
        <v>196</v>
      </c>
      <c r="CZ203" s="26">
        <v>0</v>
      </c>
      <c r="DB203" s="26">
        <v>0</v>
      </c>
      <c r="DK203" s="26" t="s">
        <v>150</v>
      </c>
      <c r="DL203" s="26" t="s">
        <v>3514</v>
      </c>
      <c r="DM203" s="26" t="s">
        <v>4064</v>
      </c>
      <c r="DO203" s="26" t="s">
        <v>4065</v>
      </c>
      <c r="DR203" s="26" t="s">
        <v>189</v>
      </c>
      <c r="DS203" s="26" t="s">
        <v>189</v>
      </c>
      <c r="DT203" s="26" t="s">
        <v>189</v>
      </c>
      <c r="DU203" s="26" t="s">
        <v>189</v>
      </c>
      <c r="DV203" s="26" t="s">
        <v>203</v>
      </c>
      <c r="DW203" s="26" t="s">
        <v>162</v>
      </c>
      <c r="DX203" s="26" t="s">
        <v>162</v>
      </c>
      <c r="DY203" s="26">
        <v>0</v>
      </c>
      <c r="DZ203" s="26" t="s">
        <v>150</v>
      </c>
      <c r="EH203" s="26" t="s">
        <v>189</v>
      </c>
      <c r="EI203" s="26">
        <v>0.14</v>
      </c>
      <c r="EJ203" s="26">
        <v>9.8924</v>
      </c>
      <c r="EK203" s="26">
        <v>26.28</v>
      </c>
      <c r="EL203" s="26" t="s">
        <v>4075</v>
      </c>
      <c r="EM203" s="26" t="s">
        <v>206</v>
      </c>
      <c r="EN203" s="26" t="s">
        <v>207</v>
      </c>
    </row>
    <row r="204" spans="1:144">
      <c r="A204" s="26" t="s">
        <v>145</v>
      </c>
      <c r="B204" s="26" t="s">
        <v>763</v>
      </c>
      <c r="C204" s="26" t="s">
        <v>4048</v>
      </c>
      <c r="D204" s="26" t="s">
        <v>148</v>
      </c>
      <c r="E204" s="26" t="s">
        <v>149</v>
      </c>
      <c r="F204" s="26" t="s">
        <v>152</v>
      </c>
      <c r="G204" s="26" t="s">
        <v>151</v>
      </c>
      <c r="H204" s="26" t="s">
        <v>152</v>
      </c>
      <c r="I204" s="26" t="s">
        <v>153</v>
      </c>
      <c r="J204" s="26" t="s">
        <v>154</v>
      </c>
      <c r="K204" s="26" t="s">
        <v>1075</v>
      </c>
      <c r="L204" s="26" t="s">
        <v>2426</v>
      </c>
      <c r="M204" s="26" t="s">
        <v>4049</v>
      </c>
      <c r="O204" s="26" t="s">
        <v>4076</v>
      </c>
      <c r="P204" s="26" t="s">
        <v>4077</v>
      </c>
      <c r="S204" s="26" t="s">
        <v>1188</v>
      </c>
      <c r="T204" s="26">
        <v>109.275992</v>
      </c>
      <c r="U204" s="26" t="s">
        <v>217</v>
      </c>
      <c r="V204" s="26" t="s">
        <v>150</v>
      </c>
      <c r="Y204" s="26" t="s">
        <v>4054</v>
      </c>
      <c r="Z204" s="26">
        <v>13.659499</v>
      </c>
      <c r="AA204" s="26">
        <v>0</v>
      </c>
      <c r="AB204" s="26">
        <v>0</v>
      </c>
      <c r="AC204" s="26">
        <v>20</v>
      </c>
      <c r="AD204" s="26" t="s">
        <v>343</v>
      </c>
      <c r="AE204" s="26" t="s">
        <v>343</v>
      </c>
      <c r="AF204" s="26">
        <v>20</v>
      </c>
      <c r="AG204" s="26" t="s">
        <v>4078</v>
      </c>
      <c r="AI204" s="26" t="s">
        <v>167</v>
      </c>
      <c r="AJ204" s="26" t="s">
        <v>168</v>
      </c>
      <c r="AK204" s="26" t="s">
        <v>169</v>
      </c>
      <c r="AM204" s="26" t="s">
        <v>4079</v>
      </c>
      <c r="AN204" s="26" t="s">
        <v>172</v>
      </c>
      <c r="AO204" s="26" t="s">
        <v>4080</v>
      </c>
      <c r="AP204" s="26" t="s">
        <v>162</v>
      </c>
      <c r="AQ204" s="26" t="s">
        <v>4056</v>
      </c>
      <c r="AS204" s="26" t="s">
        <v>4071</v>
      </c>
      <c r="AU204" s="26" t="s">
        <v>4058</v>
      </c>
      <c r="AV204" s="26" t="s">
        <v>4058</v>
      </c>
      <c r="AX204" s="26" t="s">
        <v>4081</v>
      </c>
      <c r="AY204" s="26" t="s">
        <v>4060</v>
      </c>
      <c r="BC204" s="26" t="s">
        <v>4048</v>
      </c>
      <c r="BD204" s="26" t="s">
        <v>180</v>
      </c>
      <c r="BE204" s="26" t="s">
        <v>1007</v>
      </c>
      <c r="BF204" s="26" t="s">
        <v>167</v>
      </c>
      <c r="BH204" s="26" t="s">
        <v>162</v>
      </c>
      <c r="BI204" s="26" t="s">
        <v>182</v>
      </c>
      <c r="BK204" s="26" t="s">
        <v>302</v>
      </c>
      <c r="BL204" s="26" t="s">
        <v>185</v>
      </c>
      <c r="BM204" s="26" t="s">
        <v>186</v>
      </c>
      <c r="BN204" s="26" t="s">
        <v>162</v>
      </c>
      <c r="BP204" s="26">
        <v>0</v>
      </c>
      <c r="BR204" s="26" t="s">
        <v>4080</v>
      </c>
      <c r="BS204" s="26" t="s">
        <v>188</v>
      </c>
      <c r="BT204" s="26" t="s">
        <v>185</v>
      </c>
      <c r="BV204" s="26">
        <v>16.1616</v>
      </c>
      <c r="BW204" s="26">
        <v>0.14</v>
      </c>
      <c r="BZ204" s="26" t="s">
        <v>167</v>
      </c>
      <c r="CA204" s="26" t="s">
        <v>189</v>
      </c>
      <c r="CC204" s="26" t="s">
        <v>162</v>
      </c>
      <c r="CD204" s="26">
        <v>0</v>
      </c>
      <c r="CE204" s="26" t="s">
        <v>190</v>
      </c>
      <c r="CF204" s="26" t="s">
        <v>305</v>
      </c>
      <c r="CG204" s="26" t="s">
        <v>4082</v>
      </c>
      <c r="CI204" s="26" t="s">
        <v>1095</v>
      </c>
      <c r="CJ204" s="26">
        <v>115.44</v>
      </c>
      <c r="CK204" s="26">
        <v>0</v>
      </c>
      <c r="CL204" s="26">
        <v>5.77</v>
      </c>
      <c r="CM204" s="26">
        <v>44.3</v>
      </c>
      <c r="CQ204" s="26" t="s">
        <v>233</v>
      </c>
      <c r="CR204" s="26" t="s">
        <v>782</v>
      </c>
      <c r="CS204" s="26" t="s">
        <v>4062</v>
      </c>
      <c r="CW204" s="26" t="s">
        <v>4083</v>
      </c>
      <c r="CX204" s="26" t="s">
        <v>162</v>
      </c>
      <c r="CY204" s="26" t="s">
        <v>196</v>
      </c>
      <c r="CZ204" s="26">
        <v>0</v>
      </c>
      <c r="DB204" s="26">
        <v>0</v>
      </c>
      <c r="DK204" s="26" t="s">
        <v>150</v>
      </c>
      <c r="DL204" s="26" t="s">
        <v>3514</v>
      </c>
      <c r="DM204" s="26" t="s">
        <v>4064</v>
      </c>
      <c r="DO204" s="26" t="s">
        <v>4065</v>
      </c>
      <c r="DR204" s="26" t="s">
        <v>189</v>
      </c>
      <c r="DS204" s="26" t="s">
        <v>189</v>
      </c>
      <c r="DT204" s="26" t="s">
        <v>189</v>
      </c>
      <c r="DU204" s="26" t="s">
        <v>189</v>
      </c>
      <c r="DV204" s="26" t="s">
        <v>203</v>
      </c>
      <c r="DW204" s="26" t="s">
        <v>162</v>
      </c>
      <c r="DX204" s="26" t="s">
        <v>162</v>
      </c>
      <c r="DY204" s="26">
        <v>0</v>
      </c>
      <c r="DZ204" s="26" t="s">
        <v>150</v>
      </c>
      <c r="EH204" s="26" t="s">
        <v>189</v>
      </c>
      <c r="EI204" s="26">
        <v>0.14</v>
      </c>
      <c r="EJ204" s="26">
        <v>16.1616</v>
      </c>
      <c r="EK204" s="26">
        <v>44.3</v>
      </c>
      <c r="EL204" s="26" t="s">
        <v>4084</v>
      </c>
      <c r="EM204" s="26" t="s">
        <v>206</v>
      </c>
      <c r="EN204" s="26" t="s">
        <v>207</v>
      </c>
    </row>
    <row r="205" spans="1:144">
      <c r="A205" s="26" t="s">
        <v>145</v>
      </c>
      <c r="B205" s="26" t="s">
        <v>763</v>
      </c>
      <c r="C205" s="26" t="s">
        <v>4085</v>
      </c>
      <c r="D205" s="26" t="s">
        <v>148</v>
      </c>
      <c r="E205" s="26" t="s">
        <v>149</v>
      </c>
      <c r="F205" s="26" t="s">
        <v>152</v>
      </c>
      <c r="G205" s="26" t="s">
        <v>151</v>
      </c>
      <c r="H205" s="26" t="s">
        <v>152</v>
      </c>
      <c r="I205" s="26" t="s">
        <v>153</v>
      </c>
      <c r="J205" s="26" t="s">
        <v>154</v>
      </c>
      <c r="K205" s="26" t="s">
        <v>1075</v>
      </c>
      <c r="L205" s="26" t="s">
        <v>2426</v>
      </c>
      <c r="M205" s="26" t="s">
        <v>4086</v>
      </c>
      <c r="N205" s="26" t="s">
        <v>4087</v>
      </c>
      <c r="O205" s="26" t="s">
        <v>2451</v>
      </c>
      <c r="P205" s="26" t="s">
        <v>2452</v>
      </c>
      <c r="Q205" s="26" t="s">
        <v>1357</v>
      </c>
      <c r="R205" s="26">
        <v>75.178596</v>
      </c>
      <c r="S205" s="26" t="s">
        <v>2431</v>
      </c>
      <c r="T205" s="26">
        <v>69.016416</v>
      </c>
      <c r="U205" s="26" t="s">
        <v>217</v>
      </c>
      <c r="V205" s="26" t="s">
        <v>150</v>
      </c>
      <c r="Y205" s="26" t="s">
        <v>3994</v>
      </c>
      <c r="Z205" s="26">
        <v>11.2767894</v>
      </c>
      <c r="AA205" s="26">
        <v>0</v>
      </c>
      <c r="AB205" s="26">
        <v>0</v>
      </c>
      <c r="AC205" s="26">
        <v>10</v>
      </c>
      <c r="AD205" s="26" t="s">
        <v>3995</v>
      </c>
      <c r="AE205" s="26" t="s">
        <v>3996</v>
      </c>
      <c r="AF205" s="26" t="s">
        <v>3996</v>
      </c>
      <c r="AG205" s="26" t="s">
        <v>4088</v>
      </c>
      <c r="AI205" s="26" t="s">
        <v>167</v>
      </c>
      <c r="AJ205" s="26" t="s">
        <v>168</v>
      </c>
      <c r="AK205" s="26" t="s">
        <v>169</v>
      </c>
      <c r="AL205" s="26" t="s">
        <v>4089</v>
      </c>
      <c r="AM205" s="26" t="s">
        <v>1894</v>
      </c>
      <c r="AN205" s="26" t="s">
        <v>172</v>
      </c>
      <c r="AO205" s="26" t="s">
        <v>2436</v>
      </c>
      <c r="AP205" s="26" t="s">
        <v>162</v>
      </c>
      <c r="AQ205" s="26" t="s">
        <v>4090</v>
      </c>
      <c r="AR205" s="26" t="s">
        <v>4091</v>
      </c>
      <c r="AS205" s="26" t="s">
        <v>321</v>
      </c>
      <c r="AU205" s="26" t="s">
        <v>4092</v>
      </c>
      <c r="AV205" s="26" t="s">
        <v>4092</v>
      </c>
      <c r="AX205" s="26" t="s">
        <v>2440</v>
      </c>
      <c r="AY205" s="26" t="s">
        <v>179</v>
      </c>
      <c r="BC205" s="26" t="s">
        <v>4085</v>
      </c>
      <c r="BD205" s="26" t="s">
        <v>180</v>
      </c>
      <c r="BE205" s="26" t="s">
        <v>1007</v>
      </c>
      <c r="BF205" s="26" t="s">
        <v>167</v>
      </c>
      <c r="BH205" s="26" t="s">
        <v>162</v>
      </c>
      <c r="BI205" s="26" t="s">
        <v>182</v>
      </c>
      <c r="BJ205" s="26" t="s">
        <v>2385</v>
      </c>
      <c r="BK205" s="26" t="s">
        <v>184</v>
      </c>
      <c r="BL205" s="26" t="s">
        <v>185</v>
      </c>
      <c r="BM205" s="26" t="s">
        <v>186</v>
      </c>
      <c r="BN205" s="26" t="s">
        <v>162</v>
      </c>
      <c r="BP205" s="26">
        <v>0</v>
      </c>
      <c r="BQ205" s="26" t="s">
        <v>2442</v>
      </c>
      <c r="BS205" s="26" t="s">
        <v>304</v>
      </c>
      <c r="BT205" s="26" t="s">
        <v>185</v>
      </c>
      <c r="BV205" s="26">
        <v>10.5252</v>
      </c>
      <c r="BW205" s="26">
        <v>0.14</v>
      </c>
      <c r="BZ205" s="26">
        <v>0</v>
      </c>
      <c r="CA205" s="26" t="s">
        <v>189</v>
      </c>
      <c r="CC205" s="26" t="s">
        <v>162</v>
      </c>
      <c r="CD205" s="26">
        <v>0</v>
      </c>
      <c r="CE205" s="26" t="s">
        <v>190</v>
      </c>
      <c r="CF205" s="26" t="s">
        <v>167</v>
      </c>
      <c r="CG205" s="26" t="s">
        <v>3234</v>
      </c>
      <c r="CI205" s="26" t="s">
        <v>1095</v>
      </c>
      <c r="CJ205" s="26">
        <v>75.18</v>
      </c>
      <c r="CK205" s="26">
        <v>0</v>
      </c>
      <c r="CL205" s="26">
        <v>3.76</v>
      </c>
      <c r="CM205" s="26">
        <v>12.2</v>
      </c>
      <c r="CQ205" s="26" t="s">
        <v>233</v>
      </c>
      <c r="CR205" s="26" t="s">
        <v>4093</v>
      </c>
      <c r="CS205" s="26" t="s">
        <v>4094</v>
      </c>
      <c r="CW205" s="26" t="s">
        <v>2446</v>
      </c>
      <c r="CX205" s="26" t="s">
        <v>162</v>
      </c>
      <c r="CY205" s="26" t="s">
        <v>196</v>
      </c>
      <c r="CZ205" s="26">
        <v>0</v>
      </c>
      <c r="DB205" s="26">
        <v>0</v>
      </c>
      <c r="DK205" s="26" t="s">
        <v>150</v>
      </c>
      <c r="DL205" s="26" t="s">
        <v>581</v>
      </c>
      <c r="DM205" s="26" t="s">
        <v>4095</v>
      </c>
      <c r="DN205" s="26" t="s">
        <v>4096</v>
      </c>
      <c r="DO205" s="26" t="s">
        <v>4097</v>
      </c>
      <c r="DP205" s="26" t="s">
        <v>4098</v>
      </c>
      <c r="DR205" s="26" t="s">
        <v>189</v>
      </c>
      <c r="DS205" s="26" t="s">
        <v>189</v>
      </c>
      <c r="DT205" s="26" t="s">
        <v>189</v>
      </c>
      <c r="DU205" s="26" t="s">
        <v>189</v>
      </c>
      <c r="DV205" s="26" t="s">
        <v>203</v>
      </c>
      <c r="DW205" s="26" t="s">
        <v>162</v>
      </c>
      <c r="DX205" s="26" t="s">
        <v>162</v>
      </c>
      <c r="DY205" s="26">
        <v>0</v>
      </c>
      <c r="DZ205" s="26" t="s">
        <v>150</v>
      </c>
      <c r="EH205" s="26" t="s">
        <v>189</v>
      </c>
      <c r="EI205" s="26">
        <v>0.14</v>
      </c>
      <c r="EJ205" s="26">
        <v>10.5252</v>
      </c>
      <c r="EK205" s="26">
        <v>12.2</v>
      </c>
      <c r="EL205" s="26" t="s">
        <v>2458</v>
      </c>
      <c r="EM205" s="26" t="s">
        <v>206</v>
      </c>
      <c r="EN205" s="26" t="s">
        <v>207</v>
      </c>
    </row>
    <row r="206" spans="1:144">
      <c r="A206" s="26" t="s">
        <v>145</v>
      </c>
      <c r="B206" s="26" t="s">
        <v>763</v>
      </c>
      <c r="C206" s="26" t="s">
        <v>4099</v>
      </c>
      <c r="D206" s="26" t="s">
        <v>148</v>
      </c>
      <c r="E206" s="26" t="s">
        <v>149</v>
      </c>
      <c r="F206" s="26" t="s">
        <v>152</v>
      </c>
      <c r="G206" s="26" t="s">
        <v>151</v>
      </c>
      <c r="H206" s="26" t="s">
        <v>152</v>
      </c>
      <c r="I206" s="26" t="s">
        <v>153</v>
      </c>
      <c r="J206" s="26" t="s">
        <v>154</v>
      </c>
      <c r="K206" s="26" t="s">
        <v>474</v>
      </c>
      <c r="L206" s="26" t="s">
        <v>3693</v>
      </c>
      <c r="M206" s="26" t="s">
        <v>4100</v>
      </c>
      <c r="N206" s="26" t="s">
        <v>4101</v>
      </c>
      <c r="O206" s="26" t="s">
        <v>4102</v>
      </c>
      <c r="P206" s="26" t="s">
        <v>4103</v>
      </c>
      <c r="Q206" s="26" t="s">
        <v>2349</v>
      </c>
      <c r="R206" s="26">
        <v>133.5139</v>
      </c>
      <c r="S206" s="26" t="s">
        <v>4104</v>
      </c>
      <c r="T206" s="26">
        <v>127.35172</v>
      </c>
      <c r="U206" s="26" t="s">
        <v>217</v>
      </c>
      <c r="V206" s="26" t="s">
        <v>150</v>
      </c>
      <c r="Y206" s="26" t="s">
        <v>4105</v>
      </c>
      <c r="Z206" s="26">
        <v>20.027085</v>
      </c>
      <c r="AA206" s="26">
        <v>0</v>
      </c>
      <c r="AB206" s="26">
        <v>0</v>
      </c>
      <c r="AC206" s="26">
        <v>25.65</v>
      </c>
      <c r="AD206" s="26" t="s">
        <v>4106</v>
      </c>
      <c r="AE206" s="26" t="s">
        <v>4106</v>
      </c>
      <c r="AF206" s="26" t="s">
        <v>4106</v>
      </c>
      <c r="AG206" s="26" t="s">
        <v>4107</v>
      </c>
      <c r="AI206" s="26" t="s">
        <v>167</v>
      </c>
      <c r="AJ206" s="26" t="s">
        <v>168</v>
      </c>
      <c r="AK206" s="26" t="s">
        <v>169</v>
      </c>
      <c r="AL206" s="26" t="s">
        <v>984</v>
      </c>
      <c r="AM206" s="26" t="s">
        <v>4108</v>
      </c>
      <c r="AN206" s="26" t="s">
        <v>172</v>
      </c>
      <c r="AO206" s="26" t="s">
        <v>1286</v>
      </c>
      <c r="AP206" s="26" t="s">
        <v>162</v>
      </c>
      <c r="AQ206" s="26" t="s">
        <v>4109</v>
      </c>
      <c r="AR206" s="26" t="s">
        <v>4110</v>
      </c>
      <c r="AS206" s="26" t="s">
        <v>175</v>
      </c>
      <c r="AT206" s="26" t="s">
        <v>534</v>
      </c>
      <c r="AU206" s="26" t="s">
        <v>4111</v>
      </c>
      <c r="AV206" s="26" t="s">
        <v>4111</v>
      </c>
      <c r="AX206" s="26" t="s">
        <v>4112</v>
      </c>
      <c r="AY206" s="26" t="s">
        <v>179</v>
      </c>
      <c r="BC206" s="26" t="s">
        <v>4099</v>
      </c>
      <c r="BD206" s="26" t="s">
        <v>180</v>
      </c>
      <c r="BE206" s="26" t="s">
        <v>181</v>
      </c>
      <c r="BF206" s="26" t="s">
        <v>167</v>
      </c>
      <c r="BH206" s="26" t="s">
        <v>162</v>
      </c>
      <c r="BI206" s="26" t="s">
        <v>182</v>
      </c>
      <c r="BJ206" s="26" t="s">
        <v>1362</v>
      </c>
      <c r="BK206" s="26" t="s">
        <v>184</v>
      </c>
      <c r="BL206" s="26" t="s">
        <v>185</v>
      </c>
      <c r="BM206" s="26" t="s">
        <v>186</v>
      </c>
      <c r="BN206" s="26" t="s">
        <v>162</v>
      </c>
      <c r="BP206" s="26">
        <v>0</v>
      </c>
      <c r="BQ206" s="26" t="s">
        <v>1294</v>
      </c>
      <c r="BS206" s="26" t="s">
        <v>230</v>
      </c>
      <c r="BT206" s="26" t="s">
        <v>185</v>
      </c>
      <c r="BV206" s="26">
        <v>21.3616</v>
      </c>
      <c r="BW206" s="26">
        <v>0.16</v>
      </c>
      <c r="BZ206" s="26">
        <v>0</v>
      </c>
      <c r="CA206" s="26" t="s">
        <v>189</v>
      </c>
      <c r="CC206" s="26" t="s">
        <v>162</v>
      </c>
      <c r="CD206" s="26">
        <v>0</v>
      </c>
      <c r="CE206" s="26" t="s">
        <v>190</v>
      </c>
      <c r="CF206" s="26" t="s">
        <v>167</v>
      </c>
      <c r="CG206" s="26" t="s">
        <v>4113</v>
      </c>
      <c r="CI206" s="26" t="s">
        <v>496</v>
      </c>
      <c r="CJ206" s="26">
        <v>133.51</v>
      </c>
      <c r="CK206" s="26">
        <v>0</v>
      </c>
      <c r="CL206" s="26">
        <v>6.68</v>
      </c>
      <c r="CM206" s="26">
        <v>17.55</v>
      </c>
      <c r="CQ206" s="26" t="s">
        <v>192</v>
      </c>
      <c r="CR206" s="26" t="s">
        <v>4114</v>
      </c>
      <c r="CS206" s="26" t="s">
        <v>4115</v>
      </c>
      <c r="CW206" s="26" t="s">
        <v>4116</v>
      </c>
      <c r="CX206" s="26" t="s">
        <v>162</v>
      </c>
      <c r="CY206" s="26" t="s">
        <v>196</v>
      </c>
      <c r="CZ206" s="26">
        <v>0</v>
      </c>
      <c r="DB206" s="26">
        <v>0</v>
      </c>
      <c r="DK206" s="26" t="s">
        <v>150</v>
      </c>
      <c r="DL206" s="26" t="s">
        <v>785</v>
      </c>
      <c r="DM206" s="26" t="s">
        <v>4117</v>
      </c>
      <c r="DN206" s="26" t="s">
        <v>4118</v>
      </c>
      <c r="DO206" s="26" t="s">
        <v>4119</v>
      </c>
      <c r="DP206" s="26" t="s">
        <v>4120</v>
      </c>
      <c r="DR206" s="26" t="s">
        <v>189</v>
      </c>
      <c r="DS206" s="26" t="s">
        <v>189</v>
      </c>
      <c r="DT206" s="26" t="s">
        <v>189</v>
      </c>
      <c r="DU206" s="26" t="s">
        <v>189</v>
      </c>
      <c r="DV206" s="26" t="s">
        <v>203</v>
      </c>
      <c r="DW206" s="26" t="s">
        <v>162</v>
      </c>
      <c r="DX206" s="26" t="s">
        <v>162</v>
      </c>
      <c r="DY206" s="26">
        <v>0</v>
      </c>
      <c r="DZ206" s="26" t="s">
        <v>150</v>
      </c>
      <c r="EA206" s="26" t="s">
        <v>534</v>
      </c>
      <c r="EB206" s="26" t="s">
        <v>547</v>
      </c>
      <c r="EH206" s="26" t="s">
        <v>189</v>
      </c>
      <c r="EI206" s="26">
        <v>0.16</v>
      </c>
      <c r="EJ206" s="26">
        <v>21.3616</v>
      </c>
      <c r="EK206" s="26">
        <v>17.55</v>
      </c>
      <c r="EL206" s="26" t="s">
        <v>4121</v>
      </c>
      <c r="EM206" s="26" t="s">
        <v>206</v>
      </c>
      <c r="EN206" s="26" t="s">
        <v>207</v>
      </c>
    </row>
    <row r="207" spans="1:144">
      <c r="A207" s="26" t="s">
        <v>145</v>
      </c>
      <c r="B207" s="26" t="s">
        <v>763</v>
      </c>
      <c r="C207" s="26" t="s">
        <v>4122</v>
      </c>
      <c r="D207" s="26" t="s">
        <v>148</v>
      </c>
      <c r="E207" s="26" t="s">
        <v>149</v>
      </c>
      <c r="F207" s="26" t="s">
        <v>152</v>
      </c>
      <c r="G207" s="26" t="s">
        <v>151</v>
      </c>
      <c r="H207" s="26" t="s">
        <v>152</v>
      </c>
      <c r="I207" s="26" t="s">
        <v>153</v>
      </c>
      <c r="J207" s="26" t="s">
        <v>154</v>
      </c>
      <c r="K207" s="26" t="s">
        <v>1075</v>
      </c>
      <c r="L207" s="26" t="s">
        <v>2426</v>
      </c>
      <c r="M207" s="26" t="s">
        <v>4123</v>
      </c>
      <c r="N207" s="26" t="s">
        <v>4124</v>
      </c>
      <c r="O207" s="26" t="s">
        <v>4125</v>
      </c>
      <c r="P207" s="26" t="s">
        <v>4126</v>
      </c>
      <c r="Q207" s="26" t="s">
        <v>4127</v>
      </c>
      <c r="R207" s="26">
        <v>82.984024</v>
      </c>
      <c r="S207" s="26" t="s">
        <v>3227</v>
      </c>
      <c r="T207" s="26">
        <v>76.821844</v>
      </c>
      <c r="U207" s="26" t="s">
        <v>217</v>
      </c>
      <c r="V207" s="26" t="s">
        <v>150</v>
      </c>
      <c r="Y207" s="26" t="s">
        <v>4128</v>
      </c>
      <c r="Z207" s="26">
        <v>12.4476036</v>
      </c>
      <c r="AA207" s="26">
        <v>0</v>
      </c>
      <c r="AB207" s="26">
        <v>0</v>
      </c>
      <c r="AC207" s="26">
        <v>14.6</v>
      </c>
      <c r="AD207" s="26" t="s">
        <v>4129</v>
      </c>
      <c r="AE207" s="26" t="s">
        <v>4130</v>
      </c>
      <c r="AF207" s="26" t="s">
        <v>4130</v>
      </c>
      <c r="AG207" s="26" t="s">
        <v>3700</v>
      </c>
      <c r="AI207" s="26" t="s">
        <v>167</v>
      </c>
      <c r="AJ207" s="26" t="s">
        <v>168</v>
      </c>
      <c r="AK207" s="26" t="s">
        <v>169</v>
      </c>
      <c r="AL207" s="26" t="s">
        <v>4131</v>
      </c>
      <c r="AM207" s="26" t="s">
        <v>4131</v>
      </c>
      <c r="AN207" s="26" t="s">
        <v>172</v>
      </c>
      <c r="AO207" s="26" t="s">
        <v>4132</v>
      </c>
      <c r="AP207" s="26" t="s">
        <v>162</v>
      </c>
      <c r="AQ207" s="26" t="s">
        <v>4133</v>
      </c>
      <c r="AR207" s="26" t="s">
        <v>4134</v>
      </c>
      <c r="AS207" s="26" t="s">
        <v>1343</v>
      </c>
      <c r="AT207" s="26" t="s">
        <v>3383</v>
      </c>
      <c r="AU207" s="26" t="s">
        <v>4135</v>
      </c>
      <c r="AV207" s="26" t="s">
        <v>4135</v>
      </c>
      <c r="AX207" s="26" t="s">
        <v>4136</v>
      </c>
      <c r="AY207" s="26" t="s">
        <v>179</v>
      </c>
      <c r="BC207" s="26" t="s">
        <v>4122</v>
      </c>
      <c r="BD207" s="26" t="s">
        <v>180</v>
      </c>
      <c r="BE207" s="26" t="s">
        <v>1007</v>
      </c>
      <c r="BF207" s="26" t="s">
        <v>167</v>
      </c>
      <c r="BH207" s="26" t="s">
        <v>162</v>
      </c>
      <c r="BI207" s="26" t="s">
        <v>182</v>
      </c>
      <c r="BJ207" s="26" t="s">
        <v>4137</v>
      </c>
      <c r="BK207" s="26" t="s">
        <v>184</v>
      </c>
      <c r="BL207" s="26" t="s">
        <v>185</v>
      </c>
      <c r="BM207" s="26" t="s">
        <v>186</v>
      </c>
      <c r="BN207" s="26" t="s">
        <v>162</v>
      </c>
      <c r="BP207" s="26">
        <v>0</v>
      </c>
      <c r="BS207" s="26" t="s">
        <v>188</v>
      </c>
      <c r="BT207" s="26" t="s">
        <v>185</v>
      </c>
      <c r="BV207" s="26">
        <v>11.6172</v>
      </c>
      <c r="BW207" s="26">
        <v>0.14</v>
      </c>
      <c r="BZ207" s="26">
        <v>0</v>
      </c>
      <c r="CA207" s="26" t="s">
        <v>189</v>
      </c>
      <c r="CC207" s="26" t="s">
        <v>162</v>
      </c>
      <c r="CD207" s="26">
        <v>0</v>
      </c>
      <c r="CE207" s="26" t="s">
        <v>190</v>
      </c>
      <c r="CF207" s="26" t="s">
        <v>167</v>
      </c>
      <c r="CG207" s="26" t="s">
        <v>4138</v>
      </c>
      <c r="CI207" s="26" t="s">
        <v>1095</v>
      </c>
      <c r="CJ207" s="26">
        <v>82.98</v>
      </c>
      <c r="CK207" s="26">
        <v>0</v>
      </c>
      <c r="CL207" s="26">
        <v>4.15</v>
      </c>
      <c r="CM207" s="26">
        <v>14.58</v>
      </c>
      <c r="CQ207" s="26" t="s">
        <v>437</v>
      </c>
      <c r="CR207" s="26" t="s">
        <v>4139</v>
      </c>
      <c r="CS207" s="26" t="s">
        <v>4140</v>
      </c>
      <c r="CW207" s="26" t="s">
        <v>4141</v>
      </c>
      <c r="CX207" s="26" t="s">
        <v>162</v>
      </c>
      <c r="CY207" s="26" t="s">
        <v>196</v>
      </c>
      <c r="CZ207" s="26">
        <v>0</v>
      </c>
      <c r="DB207" s="26">
        <v>0</v>
      </c>
      <c r="DK207" s="26" t="s">
        <v>150</v>
      </c>
      <c r="DL207" s="26" t="s">
        <v>3514</v>
      </c>
      <c r="DM207" s="26" t="s">
        <v>4142</v>
      </c>
      <c r="DN207" s="26" t="s">
        <v>4143</v>
      </c>
      <c r="DO207" s="26" t="s">
        <v>4119</v>
      </c>
      <c r="DP207" s="26" t="s">
        <v>4144</v>
      </c>
      <c r="DR207" s="26" t="s">
        <v>189</v>
      </c>
      <c r="DS207" s="26" t="s">
        <v>189</v>
      </c>
      <c r="DT207" s="26" t="s">
        <v>189</v>
      </c>
      <c r="DU207" s="26" t="s">
        <v>189</v>
      </c>
      <c r="DV207" s="26" t="s">
        <v>203</v>
      </c>
      <c r="DW207" s="26" t="s">
        <v>162</v>
      </c>
      <c r="DX207" s="26" t="s">
        <v>162</v>
      </c>
      <c r="DY207" s="26">
        <v>0</v>
      </c>
      <c r="DZ207" s="26" t="s">
        <v>150</v>
      </c>
      <c r="EH207" s="26" t="s">
        <v>189</v>
      </c>
      <c r="EI207" s="26">
        <v>0.14</v>
      </c>
      <c r="EJ207" s="26">
        <v>11.6172</v>
      </c>
      <c r="EK207" s="26">
        <v>14.58</v>
      </c>
      <c r="EL207" s="26" t="s">
        <v>4145</v>
      </c>
      <c r="EM207" s="26" t="s">
        <v>206</v>
      </c>
      <c r="EN207" s="26" t="s">
        <v>207</v>
      </c>
    </row>
    <row r="208" spans="1:144">
      <c r="A208" s="26" t="s">
        <v>145</v>
      </c>
      <c r="B208" s="26" t="s">
        <v>763</v>
      </c>
      <c r="C208" s="26" t="s">
        <v>4146</v>
      </c>
      <c r="D208" s="26" t="s">
        <v>148</v>
      </c>
      <c r="E208" s="26" t="s">
        <v>149</v>
      </c>
      <c r="F208" s="26" t="s">
        <v>152</v>
      </c>
      <c r="G208" s="26" t="s">
        <v>151</v>
      </c>
      <c r="H208" s="26" t="s">
        <v>152</v>
      </c>
      <c r="I208" s="26" t="s">
        <v>153</v>
      </c>
      <c r="J208" s="26" t="s">
        <v>154</v>
      </c>
      <c r="K208" s="26" t="s">
        <v>1075</v>
      </c>
      <c r="L208" s="26" t="s">
        <v>3263</v>
      </c>
      <c r="M208" s="26" t="s">
        <v>4147</v>
      </c>
      <c r="N208" s="26" t="s">
        <v>4148</v>
      </c>
      <c r="O208" s="26" t="s">
        <v>4149</v>
      </c>
      <c r="P208" s="26" t="s">
        <v>4150</v>
      </c>
      <c r="Q208" s="26" t="s">
        <v>2328</v>
      </c>
      <c r="R208" s="26">
        <v>224.303352</v>
      </c>
      <c r="S208" s="26" t="s">
        <v>4151</v>
      </c>
      <c r="T208" s="26">
        <v>71.070476</v>
      </c>
      <c r="U208" s="26" t="s">
        <v>217</v>
      </c>
      <c r="V208" s="26" t="s">
        <v>150</v>
      </c>
      <c r="Y208" s="26" t="s">
        <v>4152</v>
      </c>
      <c r="Z208" s="26">
        <v>11.2151676</v>
      </c>
      <c r="AA208" s="26">
        <v>0</v>
      </c>
      <c r="AB208" s="26">
        <v>0</v>
      </c>
      <c r="AC208" s="26">
        <v>10.5</v>
      </c>
      <c r="AD208" s="26" t="s">
        <v>4153</v>
      </c>
      <c r="AE208" s="26" t="s">
        <v>4153</v>
      </c>
      <c r="AF208" s="26">
        <v>10.5</v>
      </c>
      <c r="AG208" s="26" t="s">
        <v>4154</v>
      </c>
      <c r="AI208" s="26" t="s">
        <v>167</v>
      </c>
      <c r="AJ208" s="26" t="s">
        <v>168</v>
      </c>
      <c r="AK208" s="26" t="s">
        <v>169</v>
      </c>
      <c r="AL208" s="26" t="s">
        <v>162</v>
      </c>
      <c r="AM208" s="26" t="s">
        <v>1339</v>
      </c>
      <c r="AN208" s="26" t="s">
        <v>172</v>
      </c>
      <c r="AO208" s="26" t="s">
        <v>571</v>
      </c>
      <c r="AP208" s="26" t="s">
        <v>162</v>
      </c>
      <c r="AQ208" s="26" t="s">
        <v>4155</v>
      </c>
      <c r="AS208" s="26" t="s">
        <v>859</v>
      </c>
      <c r="AU208" s="26" t="s">
        <v>4156</v>
      </c>
      <c r="AV208" s="26" t="s">
        <v>4156</v>
      </c>
      <c r="AX208" s="26" t="s">
        <v>4157</v>
      </c>
      <c r="AY208" s="26" t="s">
        <v>4158</v>
      </c>
      <c r="BC208" s="26" t="s">
        <v>4146</v>
      </c>
      <c r="BD208" s="26" t="s">
        <v>180</v>
      </c>
      <c r="BE208" s="26" t="s">
        <v>181</v>
      </c>
      <c r="BF208" s="26" t="s">
        <v>195</v>
      </c>
      <c r="BH208" s="26" t="s">
        <v>1902</v>
      </c>
      <c r="BI208" s="26" t="s">
        <v>182</v>
      </c>
      <c r="BK208" s="26" t="s">
        <v>302</v>
      </c>
      <c r="BL208" s="26" t="s">
        <v>185</v>
      </c>
      <c r="BM208" s="26" t="s">
        <v>186</v>
      </c>
      <c r="BN208" s="26" t="s">
        <v>162</v>
      </c>
      <c r="BP208" s="26">
        <v>0</v>
      </c>
      <c r="BQ208" s="26" t="s">
        <v>466</v>
      </c>
      <c r="BS208" s="26" t="s">
        <v>230</v>
      </c>
      <c r="BT208" s="26" t="s">
        <v>185</v>
      </c>
      <c r="BV208" s="26">
        <v>10.8122</v>
      </c>
      <c r="BW208" s="26">
        <v>0.14</v>
      </c>
      <c r="BZ208" s="26" t="s">
        <v>167</v>
      </c>
      <c r="CA208" s="26" t="s">
        <v>189</v>
      </c>
      <c r="CC208" s="26" t="s">
        <v>162</v>
      </c>
      <c r="CD208" s="26">
        <v>0</v>
      </c>
      <c r="CE208" s="26" t="s">
        <v>190</v>
      </c>
      <c r="CF208" s="26" t="s">
        <v>167</v>
      </c>
      <c r="CG208" s="26" t="s">
        <v>4159</v>
      </c>
      <c r="CI208" s="26" t="s">
        <v>1095</v>
      </c>
      <c r="CJ208" s="26">
        <v>77.23</v>
      </c>
      <c r="CK208" s="26">
        <v>0</v>
      </c>
      <c r="CL208" s="26">
        <v>3.86</v>
      </c>
      <c r="CM208" s="26">
        <v>29.31</v>
      </c>
      <c r="CQ208" s="26" t="s">
        <v>437</v>
      </c>
      <c r="CR208" s="26" t="s">
        <v>782</v>
      </c>
      <c r="CS208" s="26" t="s">
        <v>4160</v>
      </c>
      <c r="CW208" s="26" t="s">
        <v>4161</v>
      </c>
      <c r="CX208" s="26" t="s">
        <v>162</v>
      </c>
      <c r="CY208" s="26" t="s">
        <v>196</v>
      </c>
      <c r="CZ208" s="26">
        <v>0</v>
      </c>
      <c r="DB208" s="26">
        <v>0</v>
      </c>
      <c r="DK208" s="26" t="s">
        <v>150</v>
      </c>
      <c r="DL208" s="26" t="s">
        <v>785</v>
      </c>
      <c r="DM208" s="26" t="s">
        <v>4162</v>
      </c>
      <c r="DO208" s="26" t="s">
        <v>4119</v>
      </c>
      <c r="DR208" s="26" t="s">
        <v>189</v>
      </c>
      <c r="DS208" s="26" t="s">
        <v>189</v>
      </c>
      <c r="DT208" s="26" t="s">
        <v>189</v>
      </c>
      <c r="DU208" s="26" t="s">
        <v>189</v>
      </c>
      <c r="DV208" s="26" t="s">
        <v>203</v>
      </c>
      <c r="DW208" s="26" t="s">
        <v>162</v>
      </c>
      <c r="DX208" s="26" t="s">
        <v>162</v>
      </c>
      <c r="DY208" s="26">
        <v>0</v>
      </c>
      <c r="DZ208" s="26" t="s">
        <v>150</v>
      </c>
      <c r="EH208" s="26" t="s">
        <v>189</v>
      </c>
      <c r="EI208" s="26">
        <v>0.14</v>
      </c>
      <c r="EJ208" s="26">
        <v>10.8122</v>
      </c>
      <c r="EK208" s="26">
        <v>29.31</v>
      </c>
      <c r="EL208" s="26" t="s">
        <v>4163</v>
      </c>
      <c r="EM208" s="26" t="s">
        <v>206</v>
      </c>
      <c r="EN208" s="26" t="s">
        <v>207</v>
      </c>
    </row>
    <row r="209" spans="1:144">
      <c r="A209" s="26" t="s">
        <v>145</v>
      </c>
      <c r="B209" s="26" t="s">
        <v>763</v>
      </c>
      <c r="C209" s="26" t="s">
        <v>4146</v>
      </c>
      <c r="D209" s="26" t="s">
        <v>148</v>
      </c>
      <c r="E209" s="26" t="s">
        <v>149</v>
      </c>
      <c r="F209" s="26" t="s">
        <v>152</v>
      </c>
      <c r="G209" s="26" t="s">
        <v>151</v>
      </c>
      <c r="H209" s="26" t="s">
        <v>152</v>
      </c>
      <c r="I209" s="26" t="s">
        <v>153</v>
      </c>
      <c r="J209" s="26" t="s">
        <v>154</v>
      </c>
      <c r="K209" s="26" t="s">
        <v>1075</v>
      </c>
      <c r="L209" s="26" t="s">
        <v>3263</v>
      </c>
      <c r="M209" s="26" t="s">
        <v>4147</v>
      </c>
      <c r="O209" s="26" t="s">
        <v>4164</v>
      </c>
      <c r="P209" s="26" t="s">
        <v>4165</v>
      </c>
      <c r="S209" s="26" t="s">
        <v>2853</v>
      </c>
      <c r="T209" s="26">
        <v>73.535348</v>
      </c>
      <c r="U209" s="26" t="s">
        <v>217</v>
      </c>
      <c r="V209" s="26" t="s">
        <v>150</v>
      </c>
      <c r="Y209" s="26" t="s">
        <v>4152</v>
      </c>
      <c r="Z209" s="26">
        <v>11.2151676</v>
      </c>
      <c r="AA209" s="26">
        <v>0</v>
      </c>
      <c r="AB209" s="26">
        <v>0</v>
      </c>
      <c r="AC209" s="26">
        <v>10.5</v>
      </c>
      <c r="AD209" s="26" t="s">
        <v>4153</v>
      </c>
      <c r="AE209" s="26" t="s">
        <v>4153</v>
      </c>
      <c r="AF209" s="26">
        <v>10.5</v>
      </c>
      <c r="AG209" s="26" t="s">
        <v>4166</v>
      </c>
      <c r="AI209" s="26" t="s">
        <v>167</v>
      </c>
      <c r="AJ209" s="26" t="s">
        <v>168</v>
      </c>
      <c r="AK209" s="26" t="s">
        <v>169</v>
      </c>
      <c r="AM209" s="26" t="s">
        <v>4167</v>
      </c>
      <c r="AN209" s="26" t="s">
        <v>172</v>
      </c>
      <c r="AO209" s="26" t="s">
        <v>571</v>
      </c>
      <c r="AP209" s="26" t="s">
        <v>162</v>
      </c>
      <c r="AQ209" s="26" t="s">
        <v>4155</v>
      </c>
      <c r="AS209" s="26" t="s">
        <v>859</v>
      </c>
      <c r="AU209" s="26" t="s">
        <v>4156</v>
      </c>
      <c r="AV209" s="26" t="s">
        <v>4156</v>
      </c>
      <c r="AX209" s="26" t="s">
        <v>4157</v>
      </c>
      <c r="AY209" s="26" t="s">
        <v>4158</v>
      </c>
      <c r="BC209" s="26" t="s">
        <v>4146</v>
      </c>
      <c r="BD209" s="26" t="s">
        <v>180</v>
      </c>
      <c r="BE209" s="26" t="s">
        <v>181</v>
      </c>
      <c r="BF209" s="26" t="s">
        <v>195</v>
      </c>
      <c r="BH209" s="26" t="s">
        <v>1902</v>
      </c>
      <c r="BI209" s="26" t="s">
        <v>182</v>
      </c>
      <c r="BK209" s="26" t="s">
        <v>302</v>
      </c>
      <c r="BL209" s="26" t="s">
        <v>185</v>
      </c>
      <c r="BM209" s="26" t="s">
        <v>186</v>
      </c>
      <c r="BN209" s="26" t="s">
        <v>162</v>
      </c>
      <c r="BP209" s="26">
        <v>0</v>
      </c>
      <c r="BQ209" s="26" t="s">
        <v>466</v>
      </c>
      <c r="BS209" s="26" t="s">
        <v>230</v>
      </c>
      <c r="BT209" s="26" t="s">
        <v>185</v>
      </c>
      <c r="BV209" s="26">
        <v>11.158</v>
      </c>
      <c r="BW209" s="26">
        <v>0.14</v>
      </c>
      <c r="BZ209" s="26" t="s">
        <v>167</v>
      </c>
      <c r="CA209" s="26" t="s">
        <v>189</v>
      </c>
      <c r="CC209" s="26" t="s">
        <v>162</v>
      </c>
      <c r="CD209" s="26">
        <v>0</v>
      </c>
      <c r="CE209" s="26" t="s">
        <v>190</v>
      </c>
      <c r="CF209" s="26" t="s">
        <v>195</v>
      </c>
      <c r="CG209" s="26" t="s">
        <v>4168</v>
      </c>
      <c r="CI209" s="26" t="s">
        <v>1095</v>
      </c>
      <c r="CJ209" s="26">
        <v>79.7</v>
      </c>
      <c r="CK209" s="26">
        <v>0</v>
      </c>
      <c r="CL209" s="26">
        <v>3.99</v>
      </c>
      <c r="CM209" s="26">
        <v>28.06</v>
      </c>
      <c r="CQ209" s="26" t="s">
        <v>437</v>
      </c>
      <c r="CR209" s="26" t="s">
        <v>782</v>
      </c>
      <c r="CS209" s="26" t="s">
        <v>4160</v>
      </c>
      <c r="CW209" s="26" t="s">
        <v>4161</v>
      </c>
      <c r="CX209" s="26" t="s">
        <v>162</v>
      </c>
      <c r="CY209" s="26" t="s">
        <v>196</v>
      </c>
      <c r="CZ209" s="26">
        <v>0</v>
      </c>
      <c r="DB209" s="26">
        <v>0</v>
      </c>
      <c r="DK209" s="26" t="s">
        <v>150</v>
      </c>
      <c r="DL209" s="26" t="s">
        <v>785</v>
      </c>
      <c r="DM209" s="26" t="s">
        <v>4162</v>
      </c>
      <c r="DO209" s="26" t="s">
        <v>4119</v>
      </c>
      <c r="DR209" s="26" t="s">
        <v>189</v>
      </c>
      <c r="DS209" s="26" t="s">
        <v>189</v>
      </c>
      <c r="DT209" s="26" t="s">
        <v>189</v>
      </c>
      <c r="DU209" s="26" t="s">
        <v>189</v>
      </c>
      <c r="DV209" s="26" t="s">
        <v>203</v>
      </c>
      <c r="DW209" s="26" t="s">
        <v>162</v>
      </c>
      <c r="DX209" s="26" t="s">
        <v>162</v>
      </c>
      <c r="DY209" s="26">
        <v>0</v>
      </c>
      <c r="DZ209" s="26" t="s">
        <v>150</v>
      </c>
      <c r="EH209" s="26" t="s">
        <v>189</v>
      </c>
      <c r="EI209" s="26">
        <v>0.14</v>
      </c>
      <c r="EJ209" s="26">
        <v>11.158</v>
      </c>
      <c r="EK209" s="26">
        <v>28.06</v>
      </c>
      <c r="EL209" s="26" t="s">
        <v>4169</v>
      </c>
      <c r="EM209" s="26" t="s">
        <v>206</v>
      </c>
      <c r="EN209" s="26" t="s">
        <v>207</v>
      </c>
    </row>
    <row r="210" spans="1:144">
      <c r="A210" s="26" t="s">
        <v>145</v>
      </c>
      <c r="B210" s="26" t="s">
        <v>763</v>
      </c>
      <c r="C210" s="26" t="s">
        <v>4146</v>
      </c>
      <c r="D210" s="26" t="s">
        <v>148</v>
      </c>
      <c r="E210" s="26" t="s">
        <v>149</v>
      </c>
      <c r="F210" s="26" t="s">
        <v>152</v>
      </c>
      <c r="G210" s="26" t="s">
        <v>151</v>
      </c>
      <c r="H210" s="26" t="s">
        <v>152</v>
      </c>
      <c r="I210" s="26" t="s">
        <v>153</v>
      </c>
      <c r="J210" s="26" t="s">
        <v>154</v>
      </c>
      <c r="K210" s="26" t="s">
        <v>1075</v>
      </c>
      <c r="L210" s="26" t="s">
        <v>3263</v>
      </c>
      <c r="M210" s="26" t="s">
        <v>4147</v>
      </c>
      <c r="O210" s="26" t="s">
        <v>4170</v>
      </c>
      <c r="P210" s="26" t="s">
        <v>4171</v>
      </c>
      <c r="S210" s="26" t="s">
        <v>4012</v>
      </c>
      <c r="T210" s="26">
        <v>61.210988</v>
      </c>
      <c r="U210" s="26" t="s">
        <v>217</v>
      </c>
      <c r="V210" s="26" t="s">
        <v>150</v>
      </c>
      <c r="Y210" s="26" t="s">
        <v>4152</v>
      </c>
      <c r="Z210" s="26">
        <v>11.2151676</v>
      </c>
      <c r="AA210" s="26">
        <v>0</v>
      </c>
      <c r="AB210" s="26">
        <v>0</v>
      </c>
      <c r="AC210" s="26">
        <v>7.5</v>
      </c>
      <c r="AD210" s="26" t="s">
        <v>4172</v>
      </c>
      <c r="AE210" s="26" t="s">
        <v>4172</v>
      </c>
      <c r="AF210" s="26">
        <v>7.5</v>
      </c>
      <c r="AG210" s="26" t="s">
        <v>4173</v>
      </c>
      <c r="AI210" s="26" t="s">
        <v>167</v>
      </c>
      <c r="AJ210" s="26" t="s">
        <v>168</v>
      </c>
      <c r="AK210" s="26" t="s">
        <v>169</v>
      </c>
      <c r="AM210" s="26" t="s">
        <v>4174</v>
      </c>
      <c r="AN210" s="26" t="s">
        <v>172</v>
      </c>
      <c r="AO210" s="26" t="s">
        <v>408</v>
      </c>
      <c r="AP210" s="26" t="s">
        <v>162</v>
      </c>
      <c r="AQ210" s="26" t="s">
        <v>4155</v>
      </c>
      <c r="AS210" s="26" t="s">
        <v>4175</v>
      </c>
      <c r="AU210" s="26" t="s">
        <v>4156</v>
      </c>
      <c r="AV210" s="26" t="s">
        <v>4156</v>
      </c>
      <c r="AX210" s="26" t="s">
        <v>4176</v>
      </c>
      <c r="AY210" s="26" t="s">
        <v>4158</v>
      </c>
      <c r="BC210" s="26" t="s">
        <v>4146</v>
      </c>
      <c r="BD210" s="26" t="s">
        <v>180</v>
      </c>
      <c r="BE210" s="26" t="s">
        <v>1007</v>
      </c>
      <c r="BF210" s="26" t="s">
        <v>195</v>
      </c>
      <c r="BH210" s="26" t="s">
        <v>1902</v>
      </c>
      <c r="BI210" s="26" t="s">
        <v>182</v>
      </c>
      <c r="BK210" s="26" t="s">
        <v>302</v>
      </c>
      <c r="BL210" s="26" t="s">
        <v>185</v>
      </c>
      <c r="BM210" s="26" t="s">
        <v>186</v>
      </c>
      <c r="BN210" s="26" t="s">
        <v>162</v>
      </c>
      <c r="BP210" s="26">
        <v>0</v>
      </c>
      <c r="BS210" s="26" t="s">
        <v>230</v>
      </c>
      <c r="BT210" s="26" t="s">
        <v>185</v>
      </c>
      <c r="BV210" s="26">
        <v>9.4318</v>
      </c>
      <c r="BW210" s="26">
        <v>0.14</v>
      </c>
      <c r="BZ210" s="26" t="s">
        <v>167</v>
      </c>
      <c r="CA210" s="26" t="s">
        <v>189</v>
      </c>
      <c r="CC210" s="26" t="s">
        <v>162</v>
      </c>
      <c r="CD210" s="26">
        <v>0</v>
      </c>
      <c r="CE210" s="26" t="s">
        <v>190</v>
      </c>
      <c r="CF210" s="26" t="s">
        <v>305</v>
      </c>
      <c r="CG210" s="26" t="s">
        <v>4177</v>
      </c>
      <c r="CI210" s="26" t="s">
        <v>1095</v>
      </c>
      <c r="CJ210" s="26">
        <v>67.37</v>
      </c>
      <c r="CK210" s="26">
        <v>0</v>
      </c>
      <c r="CL210" s="26">
        <v>3.37</v>
      </c>
      <c r="CM210" s="26">
        <v>30.8</v>
      </c>
      <c r="CQ210" s="26" t="s">
        <v>437</v>
      </c>
      <c r="CR210" s="26" t="s">
        <v>782</v>
      </c>
      <c r="CS210" s="26" t="s">
        <v>4160</v>
      </c>
      <c r="CW210" s="26" t="s">
        <v>4178</v>
      </c>
      <c r="CX210" s="26" t="s">
        <v>162</v>
      </c>
      <c r="CY210" s="26" t="s">
        <v>196</v>
      </c>
      <c r="CZ210" s="26">
        <v>0</v>
      </c>
      <c r="DB210" s="26">
        <v>0</v>
      </c>
      <c r="DK210" s="26" t="s">
        <v>150</v>
      </c>
      <c r="DL210" s="26" t="s">
        <v>785</v>
      </c>
      <c r="DM210" s="26" t="s">
        <v>4162</v>
      </c>
      <c r="DO210" s="26" t="s">
        <v>4119</v>
      </c>
      <c r="DR210" s="26" t="s">
        <v>189</v>
      </c>
      <c r="DS210" s="26" t="s">
        <v>189</v>
      </c>
      <c r="DT210" s="26" t="s">
        <v>189</v>
      </c>
      <c r="DU210" s="26" t="s">
        <v>189</v>
      </c>
      <c r="DV210" s="26" t="s">
        <v>203</v>
      </c>
      <c r="DW210" s="26" t="s">
        <v>162</v>
      </c>
      <c r="DX210" s="26" t="s">
        <v>162</v>
      </c>
      <c r="DY210" s="26">
        <v>0</v>
      </c>
      <c r="DZ210" s="26" t="s">
        <v>150</v>
      </c>
      <c r="EH210" s="26" t="s">
        <v>189</v>
      </c>
      <c r="EI210" s="26">
        <v>0.14</v>
      </c>
      <c r="EJ210" s="26">
        <v>9.4318</v>
      </c>
      <c r="EK210" s="26">
        <v>30.8</v>
      </c>
      <c r="EL210" s="26" t="s">
        <v>4179</v>
      </c>
      <c r="EM210" s="26" t="s">
        <v>206</v>
      </c>
      <c r="EN210" s="26" t="s">
        <v>207</v>
      </c>
    </row>
    <row r="211" spans="1:144">
      <c r="A211" s="26" t="s">
        <v>145</v>
      </c>
      <c r="B211" s="26" t="s">
        <v>763</v>
      </c>
      <c r="C211" s="26" t="s">
        <v>4180</v>
      </c>
      <c r="D211" s="26" t="s">
        <v>148</v>
      </c>
      <c r="E211" s="26" t="s">
        <v>149</v>
      </c>
      <c r="F211" s="26" t="s">
        <v>152</v>
      </c>
      <c r="G211" s="26" t="s">
        <v>151</v>
      </c>
      <c r="H211" s="26" t="s">
        <v>152</v>
      </c>
      <c r="I211" s="26" t="s">
        <v>153</v>
      </c>
      <c r="J211" s="26" t="s">
        <v>154</v>
      </c>
      <c r="K211" s="26" t="s">
        <v>1075</v>
      </c>
      <c r="L211" s="26" t="s">
        <v>3263</v>
      </c>
      <c r="M211" s="26" t="s">
        <v>4181</v>
      </c>
      <c r="N211" s="26" t="s">
        <v>4182</v>
      </c>
      <c r="O211" s="26" t="s">
        <v>4183</v>
      </c>
      <c r="P211" s="26" t="s">
        <v>4184</v>
      </c>
      <c r="Q211" s="26" t="s">
        <v>3115</v>
      </c>
      <c r="R211" s="26">
        <v>57.51368</v>
      </c>
      <c r="S211" s="26" t="s">
        <v>3027</v>
      </c>
      <c r="T211" s="26">
        <v>51.3515</v>
      </c>
      <c r="U211" s="26" t="s">
        <v>217</v>
      </c>
      <c r="V211" s="26" t="s">
        <v>150</v>
      </c>
      <c r="Y211" s="26" t="s">
        <v>4185</v>
      </c>
      <c r="Z211" s="26">
        <v>8.627052</v>
      </c>
      <c r="AA211" s="26">
        <v>0</v>
      </c>
      <c r="AB211" s="26">
        <v>0</v>
      </c>
      <c r="AC211" s="26">
        <v>4.6</v>
      </c>
      <c r="AD211" s="26" t="s">
        <v>4186</v>
      </c>
      <c r="AE211" s="26" t="s">
        <v>4186</v>
      </c>
      <c r="AF211" s="26">
        <v>4.6</v>
      </c>
      <c r="AG211" s="26" t="s">
        <v>4187</v>
      </c>
      <c r="AH211" s="26" t="s">
        <v>4188</v>
      </c>
      <c r="AI211" s="26" t="s">
        <v>167</v>
      </c>
      <c r="AJ211" s="26" t="s">
        <v>168</v>
      </c>
      <c r="AK211" s="26" t="s">
        <v>169</v>
      </c>
      <c r="AL211" s="26" t="s">
        <v>162</v>
      </c>
      <c r="AM211" s="26" t="s">
        <v>1339</v>
      </c>
      <c r="AN211" s="26" t="s">
        <v>172</v>
      </c>
      <c r="AO211" s="26" t="s">
        <v>4189</v>
      </c>
      <c r="AP211" s="26" t="s">
        <v>162</v>
      </c>
      <c r="AQ211" s="26" t="s">
        <v>4190</v>
      </c>
      <c r="AS211" s="26" t="s">
        <v>859</v>
      </c>
      <c r="AU211" s="26" t="s">
        <v>4191</v>
      </c>
      <c r="AV211" s="26" t="s">
        <v>4191</v>
      </c>
      <c r="AX211" s="26" t="s">
        <v>4192</v>
      </c>
      <c r="AY211" s="26" t="s">
        <v>3890</v>
      </c>
      <c r="BC211" s="26" t="s">
        <v>4180</v>
      </c>
      <c r="BD211" s="26" t="s">
        <v>180</v>
      </c>
      <c r="BE211" s="26" t="s">
        <v>181</v>
      </c>
      <c r="BF211" s="26" t="s">
        <v>167</v>
      </c>
      <c r="BH211" s="26" t="s">
        <v>162</v>
      </c>
      <c r="BI211" s="26" t="s">
        <v>182</v>
      </c>
      <c r="BK211" s="26" t="s">
        <v>1902</v>
      </c>
      <c r="BL211" s="26" t="s">
        <v>185</v>
      </c>
      <c r="BM211" s="26" t="s">
        <v>186</v>
      </c>
      <c r="BN211" s="26" t="s">
        <v>162</v>
      </c>
      <c r="BP211" s="26">
        <v>0</v>
      </c>
      <c r="BQ211" s="26" t="s">
        <v>666</v>
      </c>
      <c r="BS211" s="26" t="s">
        <v>230</v>
      </c>
      <c r="BT211" s="26" t="s">
        <v>185</v>
      </c>
      <c r="BV211" s="26">
        <v>8.0514</v>
      </c>
      <c r="BW211" s="26">
        <v>0.14</v>
      </c>
      <c r="BZ211" s="26" t="s">
        <v>167</v>
      </c>
      <c r="CA211" s="26" t="s">
        <v>189</v>
      </c>
      <c r="CC211" s="26" t="s">
        <v>162</v>
      </c>
      <c r="CD211" s="26">
        <v>0</v>
      </c>
      <c r="CE211" s="26" t="s">
        <v>190</v>
      </c>
      <c r="CF211" s="26" t="s">
        <v>167</v>
      </c>
      <c r="CG211" s="26" t="s">
        <v>4193</v>
      </c>
      <c r="CI211" s="26" t="s">
        <v>1095</v>
      </c>
      <c r="CJ211" s="26">
        <v>57.51</v>
      </c>
      <c r="CK211" s="26">
        <v>0</v>
      </c>
      <c r="CL211" s="26">
        <v>2.88</v>
      </c>
      <c r="CM211" s="26">
        <v>9.27</v>
      </c>
      <c r="CQ211" s="26" t="s">
        <v>437</v>
      </c>
      <c r="CR211" s="26" t="s">
        <v>782</v>
      </c>
      <c r="CS211" s="26" t="s">
        <v>4194</v>
      </c>
      <c r="CW211" s="26" t="s">
        <v>4195</v>
      </c>
      <c r="CX211" s="26" t="s">
        <v>162</v>
      </c>
      <c r="CY211" s="26" t="s">
        <v>196</v>
      </c>
      <c r="CZ211" s="26">
        <v>0</v>
      </c>
      <c r="DB211" s="26">
        <v>0</v>
      </c>
      <c r="DK211" s="26" t="s">
        <v>150</v>
      </c>
      <c r="DL211" s="26" t="s">
        <v>237</v>
      </c>
      <c r="DM211" s="26" t="s">
        <v>4196</v>
      </c>
      <c r="DO211" s="26" t="s">
        <v>4119</v>
      </c>
      <c r="DR211" s="26" t="s">
        <v>189</v>
      </c>
      <c r="DS211" s="26" t="s">
        <v>189</v>
      </c>
      <c r="DT211" s="26" t="s">
        <v>189</v>
      </c>
      <c r="DU211" s="26" t="s">
        <v>189</v>
      </c>
      <c r="DV211" s="26" t="s">
        <v>203</v>
      </c>
      <c r="DW211" s="26" t="s">
        <v>162</v>
      </c>
      <c r="DX211" s="26" t="s">
        <v>162</v>
      </c>
      <c r="DY211" s="26">
        <v>0</v>
      </c>
      <c r="DZ211" s="26" t="s">
        <v>150</v>
      </c>
      <c r="EH211" s="26" t="s">
        <v>189</v>
      </c>
      <c r="EI211" s="26">
        <v>0.14</v>
      </c>
      <c r="EJ211" s="26">
        <v>8.0514</v>
      </c>
      <c r="EK211" s="26">
        <v>9.27</v>
      </c>
      <c r="EL211" s="26" t="s">
        <v>4197</v>
      </c>
      <c r="EM211" s="26" t="s">
        <v>206</v>
      </c>
      <c r="EN211" s="26" t="s">
        <v>207</v>
      </c>
    </row>
    <row r="212" spans="1:144">
      <c r="A212" s="26" t="s">
        <v>145</v>
      </c>
      <c r="B212" s="26" t="s">
        <v>763</v>
      </c>
      <c r="C212" s="26" t="s">
        <v>4198</v>
      </c>
      <c r="D212" s="26" t="s">
        <v>148</v>
      </c>
      <c r="E212" s="26" t="s">
        <v>149</v>
      </c>
      <c r="F212" s="26" t="s">
        <v>152</v>
      </c>
      <c r="G212" s="26" t="s">
        <v>151</v>
      </c>
      <c r="H212" s="26" t="s">
        <v>152</v>
      </c>
      <c r="I212" s="26" t="s">
        <v>153</v>
      </c>
      <c r="J212" s="26" t="s">
        <v>154</v>
      </c>
      <c r="K212" s="26" t="s">
        <v>209</v>
      </c>
      <c r="L212" s="26" t="s">
        <v>620</v>
      </c>
      <c r="M212" s="26" t="s">
        <v>4199</v>
      </c>
      <c r="N212" s="26" t="s">
        <v>4200</v>
      </c>
      <c r="O212" s="26" t="s">
        <v>4201</v>
      </c>
      <c r="P212" s="26" t="s">
        <v>4202</v>
      </c>
      <c r="Q212" s="26" t="s">
        <v>4203</v>
      </c>
      <c r="R212" s="26">
        <v>186.508648</v>
      </c>
      <c r="S212" s="26" t="s">
        <v>1676</v>
      </c>
      <c r="T212" s="26">
        <v>180.346468</v>
      </c>
      <c r="U212" s="26" t="s">
        <v>217</v>
      </c>
      <c r="V212" s="26" t="s">
        <v>150</v>
      </c>
      <c r="Y212" s="26" t="s">
        <v>4204</v>
      </c>
      <c r="Z212" s="26">
        <v>27.9762972</v>
      </c>
      <c r="AA212" s="26">
        <v>0</v>
      </c>
      <c r="AB212" s="26">
        <v>0</v>
      </c>
      <c r="AC212" s="26">
        <v>31</v>
      </c>
      <c r="AD212" s="26" t="s">
        <v>852</v>
      </c>
      <c r="AE212" s="26" t="s">
        <v>852</v>
      </c>
      <c r="AF212" s="26">
        <v>31</v>
      </c>
      <c r="AG212" s="26" t="s">
        <v>4205</v>
      </c>
      <c r="AI212" s="26" t="s">
        <v>167</v>
      </c>
      <c r="AJ212" s="26" t="s">
        <v>168</v>
      </c>
      <c r="AK212" s="26" t="s">
        <v>169</v>
      </c>
      <c r="AL212" s="26" t="s">
        <v>162</v>
      </c>
      <c r="AM212" s="26" t="s">
        <v>4206</v>
      </c>
      <c r="AN212" s="26" t="s">
        <v>172</v>
      </c>
      <c r="AO212" s="26" t="s">
        <v>346</v>
      </c>
      <c r="AP212" s="26" t="s">
        <v>162</v>
      </c>
      <c r="AQ212" s="26" t="s">
        <v>4207</v>
      </c>
      <c r="AS212" s="26" t="s">
        <v>321</v>
      </c>
      <c r="AU212" s="26" t="s">
        <v>4208</v>
      </c>
      <c r="AV212" s="26" t="s">
        <v>4208</v>
      </c>
      <c r="AX212" s="26" t="s">
        <v>4209</v>
      </c>
      <c r="AY212" s="26" t="s">
        <v>3890</v>
      </c>
      <c r="BC212" s="26" t="s">
        <v>4198</v>
      </c>
      <c r="BD212" s="26" t="s">
        <v>180</v>
      </c>
      <c r="BE212" s="26" t="s">
        <v>181</v>
      </c>
      <c r="BF212" s="26" t="s">
        <v>167</v>
      </c>
      <c r="BH212" s="26" t="s">
        <v>162</v>
      </c>
      <c r="BI212" s="26" t="s">
        <v>182</v>
      </c>
      <c r="BK212" s="26" t="s">
        <v>184</v>
      </c>
      <c r="BL212" s="26" t="s">
        <v>185</v>
      </c>
      <c r="BM212" s="26" t="s">
        <v>186</v>
      </c>
      <c r="BN212" s="26" t="s">
        <v>162</v>
      </c>
      <c r="BP212" s="26">
        <v>0</v>
      </c>
      <c r="BQ212" s="26" t="s">
        <v>353</v>
      </c>
      <c r="BS212" s="26" t="s">
        <v>354</v>
      </c>
      <c r="BT212" s="26" t="s">
        <v>185</v>
      </c>
      <c r="BV212" s="26">
        <v>26.1114</v>
      </c>
      <c r="BW212" s="26">
        <v>0.14</v>
      </c>
      <c r="BZ212" s="26" t="s">
        <v>167</v>
      </c>
      <c r="CA212" s="26" t="s">
        <v>189</v>
      </c>
      <c r="CC212" s="26" t="s">
        <v>162</v>
      </c>
      <c r="CD212" s="26">
        <v>0</v>
      </c>
      <c r="CE212" s="26" t="s">
        <v>190</v>
      </c>
      <c r="CF212" s="26" t="s">
        <v>167</v>
      </c>
      <c r="CG212" s="26" t="s">
        <v>4210</v>
      </c>
      <c r="CI212" s="26" t="s">
        <v>232</v>
      </c>
      <c r="CJ212" s="26">
        <v>186.51</v>
      </c>
      <c r="CK212" s="26">
        <v>0</v>
      </c>
      <c r="CL212" s="26">
        <v>9.33</v>
      </c>
      <c r="CM212" s="26">
        <v>39.44</v>
      </c>
      <c r="CQ212" s="26" t="s">
        <v>233</v>
      </c>
      <c r="CR212" s="26" t="s">
        <v>782</v>
      </c>
      <c r="CS212" s="26" t="s">
        <v>4211</v>
      </c>
      <c r="CW212" s="26" t="s">
        <v>4212</v>
      </c>
      <c r="CX212" s="26" t="s">
        <v>162</v>
      </c>
      <c r="CY212" s="26" t="s">
        <v>196</v>
      </c>
      <c r="CZ212" s="26">
        <v>0</v>
      </c>
      <c r="DB212" s="26">
        <v>0</v>
      </c>
      <c r="DK212" s="26" t="s">
        <v>150</v>
      </c>
      <c r="DL212" s="26" t="s">
        <v>581</v>
      </c>
      <c r="DM212" s="26" t="s">
        <v>4213</v>
      </c>
      <c r="DO212" s="26" t="s">
        <v>4214</v>
      </c>
      <c r="DR212" s="26" t="s">
        <v>189</v>
      </c>
      <c r="DS212" s="26" t="s">
        <v>189</v>
      </c>
      <c r="DT212" s="26" t="s">
        <v>189</v>
      </c>
      <c r="DU212" s="26" t="s">
        <v>189</v>
      </c>
      <c r="DV212" s="26" t="s">
        <v>203</v>
      </c>
      <c r="DW212" s="26" t="s">
        <v>162</v>
      </c>
      <c r="DX212" s="26" t="s">
        <v>162</v>
      </c>
      <c r="DY212" s="26">
        <v>0</v>
      </c>
      <c r="DZ212" s="26" t="s">
        <v>150</v>
      </c>
      <c r="EH212" s="26" t="s">
        <v>189</v>
      </c>
      <c r="EI212" s="26">
        <v>0.14</v>
      </c>
      <c r="EJ212" s="26">
        <v>26.1114</v>
      </c>
      <c r="EK212" s="26">
        <v>39.44</v>
      </c>
      <c r="EL212" s="26" t="s">
        <v>4215</v>
      </c>
      <c r="EM212" s="26" t="s">
        <v>206</v>
      </c>
      <c r="EN212" s="26" t="s">
        <v>207</v>
      </c>
    </row>
  </sheetData>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P212"/>
  <sheetViews>
    <sheetView topLeftCell="A29" workbookViewId="0">
      <selection activeCell="P1" sqref="P$1:P$1048576"/>
    </sheetView>
  </sheetViews>
  <sheetFormatPr defaultColWidth="8.72727272727273" defaultRowHeight="14"/>
  <cols>
    <col min="2" max="2" width="13.2727272727273" style="21" customWidth="1"/>
    <col min="4" max="4" width="9.09090909090909" customWidth="1"/>
    <col min="7" max="7" width="45.0909090909091" customWidth="1"/>
    <col min="8" max="8" width="16.7272727272727" customWidth="1"/>
    <col min="9" max="9" width="10.2727272727273" style="22" customWidth="1"/>
    <col min="11" max="11" width="12" customWidth="1"/>
    <col min="12" max="12" width="8.72727272727273" style="9"/>
    <col min="13" max="13" width="10.7272727272727" style="23" customWidth="1"/>
    <col min="14" max="14" width="10.7272727272727" style="24" customWidth="1"/>
    <col min="16" max="16" width="9.81818181818182" customWidth="1"/>
  </cols>
  <sheetData>
    <row r="1" spans="1:16">
      <c r="A1" t="s">
        <v>4216</v>
      </c>
      <c r="B1" s="21" t="s">
        <v>13</v>
      </c>
      <c r="C1" t="s">
        <v>4217</v>
      </c>
      <c r="D1" t="s">
        <v>4218</v>
      </c>
      <c r="E1" t="s">
        <v>4219</v>
      </c>
      <c r="F1" t="s">
        <v>4220</v>
      </c>
      <c r="G1" s="25" t="s">
        <v>4221</v>
      </c>
      <c r="H1" s="26" t="s">
        <v>14</v>
      </c>
      <c r="I1" s="22" t="s">
        <v>16</v>
      </c>
      <c r="J1" t="s">
        <v>4222</v>
      </c>
      <c r="K1" t="s">
        <v>20</v>
      </c>
      <c r="L1" s="28" t="s">
        <v>90</v>
      </c>
      <c r="M1" s="29" t="s">
        <v>1</v>
      </c>
      <c r="N1" s="30" t="s">
        <v>4223</v>
      </c>
      <c r="O1" s="26" t="s">
        <v>50</v>
      </c>
      <c r="P1" s="25"/>
    </row>
    <row r="2" spans="1:15">
      <c r="A2">
        <f>COUNTA(B2)</f>
        <v>1</v>
      </c>
      <c r="B2" s="27">
        <v>863236301356</v>
      </c>
      <c r="C2" t="s">
        <v>157</v>
      </c>
      <c r="D2">
        <v>2023</v>
      </c>
      <c r="E2">
        <v>10</v>
      </c>
      <c r="F2">
        <v>24</v>
      </c>
      <c r="G2" s="26" t="s">
        <v>156</v>
      </c>
      <c r="H2" s="26" t="s">
        <v>4224</v>
      </c>
      <c r="I2" s="22">
        <v>548</v>
      </c>
      <c r="J2">
        <v>548</v>
      </c>
      <c r="K2">
        <v>0</v>
      </c>
      <c r="L2" s="28">
        <v>52.48</v>
      </c>
      <c r="M2" s="29">
        <v>0.396939</v>
      </c>
      <c r="N2" s="30">
        <f>L2/M2</f>
        <v>132.21175042009</v>
      </c>
      <c r="O2" s="26" t="s">
        <v>179</v>
      </c>
    </row>
    <row r="3" spans="1:15">
      <c r="A3">
        <f>COUNTA(B3)</f>
        <v>1</v>
      </c>
      <c r="B3" s="26" t="s">
        <v>212</v>
      </c>
      <c r="C3" t="s">
        <v>211</v>
      </c>
      <c r="D3">
        <v>2023</v>
      </c>
      <c r="E3">
        <v>11</v>
      </c>
      <c r="F3">
        <v>1</v>
      </c>
      <c r="G3" s="26" t="s">
        <v>210</v>
      </c>
      <c r="H3" s="26" t="s">
        <v>4225</v>
      </c>
      <c r="I3" s="10">
        <v>711</v>
      </c>
      <c r="J3">
        <v>696</v>
      </c>
      <c r="K3">
        <v>15</v>
      </c>
      <c r="L3" s="28">
        <v>71.63</v>
      </c>
      <c r="M3" s="29">
        <v>0.396939</v>
      </c>
      <c r="N3" s="30">
        <f t="shared" ref="N3:N66" si="0">L3/M3</f>
        <v>180.455939073762</v>
      </c>
      <c r="O3" s="26" t="s">
        <v>179</v>
      </c>
    </row>
    <row r="4" spans="1:15">
      <c r="A4">
        <f t="shared" ref="A4:A67" si="1">COUNTA(B4)</f>
        <v>1</v>
      </c>
      <c r="B4" s="27" t="s">
        <v>247</v>
      </c>
      <c r="C4" t="s">
        <v>246</v>
      </c>
      <c r="D4">
        <v>2023</v>
      </c>
      <c r="E4">
        <v>11</v>
      </c>
      <c r="F4">
        <v>1</v>
      </c>
      <c r="G4" s="26" t="s">
        <v>245</v>
      </c>
      <c r="H4" s="26" t="s">
        <v>4226</v>
      </c>
      <c r="I4" s="10">
        <v>997</v>
      </c>
      <c r="J4">
        <v>475</v>
      </c>
      <c r="K4">
        <v>15</v>
      </c>
      <c r="L4" s="28">
        <v>50.37</v>
      </c>
      <c r="M4" s="29">
        <v>0.396939</v>
      </c>
      <c r="N4" s="30">
        <f t="shared" si="0"/>
        <v>126.896072192453</v>
      </c>
      <c r="O4" s="26" t="s">
        <v>179</v>
      </c>
    </row>
    <row r="5" spans="1:15">
      <c r="A5">
        <f t="shared" si="1"/>
        <v>0</v>
      </c>
      <c r="B5" s="27"/>
      <c r="C5" t="s">
        <v>246</v>
      </c>
      <c r="D5">
        <v>2023</v>
      </c>
      <c r="E5">
        <v>11</v>
      </c>
      <c r="F5">
        <v>1</v>
      </c>
      <c r="G5" s="26" t="s">
        <v>245</v>
      </c>
      <c r="H5" s="26" t="s">
        <v>4226</v>
      </c>
      <c r="J5">
        <v>492</v>
      </c>
      <c r="K5">
        <v>15</v>
      </c>
      <c r="L5" s="28">
        <v>51.05</v>
      </c>
      <c r="M5" s="29">
        <v>0.396939</v>
      </c>
      <c r="N5" s="30">
        <f t="shared" si="0"/>
        <v>128.609181763445</v>
      </c>
      <c r="O5" s="26" t="s">
        <v>179</v>
      </c>
    </row>
    <row r="6" spans="1:15">
      <c r="A6">
        <f t="shared" si="1"/>
        <v>1</v>
      </c>
      <c r="B6" s="27" t="s">
        <v>285</v>
      </c>
      <c r="C6" t="s">
        <v>284</v>
      </c>
      <c r="D6">
        <v>2023</v>
      </c>
      <c r="E6">
        <v>11</v>
      </c>
      <c r="F6">
        <v>2</v>
      </c>
      <c r="G6" s="26" t="s">
        <v>283</v>
      </c>
      <c r="H6" s="26" t="s">
        <v>4227</v>
      </c>
      <c r="I6" s="22">
        <v>1719</v>
      </c>
      <c r="J6">
        <v>503</v>
      </c>
      <c r="K6">
        <v>15</v>
      </c>
      <c r="L6" s="28">
        <v>58.19</v>
      </c>
      <c r="M6" s="29">
        <v>0.396939</v>
      </c>
      <c r="N6" s="30">
        <f t="shared" si="0"/>
        <v>146.596832258861</v>
      </c>
      <c r="O6" s="26" t="s">
        <v>179</v>
      </c>
    </row>
    <row r="7" spans="1:15">
      <c r="A7">
        <f t="shared" si="1"/>
        <v>0</v>
      </c>
      <c r="B7" s="27"/>
      <c r="C7" t="s">
        <v>284</v>
      </c>
      <c r="D7">
        <v>2023</v>
      </c>
      <c r="E7">
        <v>11</v>
      </c>
      <c r="F7">
        <v>2</v>
      </c>
      <c r="G7" s="26" t="s">
        <v>313</v>
      </c>
      <c r="H7" s="26" t="s">
        <v>4228</v>
      </c>
      <c r="J7">
        <v>585</v>
      </c>
      <c r="K7">
        <v>15</v>
      </c>
      <c r="L7" s="28">
        <v>69.79</v>
      </c>
      <c r="M7" s="29">
        <v>0.396939</v>
      </c>
      <c r="N7" s="30">
        <f t="shared" si="0"/>
        <v>175.82046611696</v>
      </c>
      <c r="O7" s="26" t="s">
        <v>179</v>
      </c>
    </row>
    <row r="8" spans="1:15">
      <c r="A8">
        <f t="shared" si="1"/>
        <v>0</v>
      </c>
      <c r="B8" s="27"/>
      <c r="C8" t="s">
        <v>284</v>
      </c>
      <c r="D8">
        <v>2023</v>
      </c>
      <c r="E8">
        <v>11</v>
      </c>
      <c r="F8">
        <v>2</v>
      </c>
      <c r="G8" s="26" t="s">
        <v>313</v>
      </c>
      <c r="H8" s="26" t="s">
        <v>4228</v>
      </c>
      <c r="J8">
        <v>586</v>
      </c>
      <c r="K8">
        <v>15</v>
      </c>
      <c r="L8" s="28">
        <v>69.86</v>
      </c>
      <c r="M8" s="29">
        <v>0.396939</v>
      </c>
      <c r="N8" s="30">
        <f t="shared" si="0"/>
        <v>175.996815631621</v>
      </c>
      <c r="O8" s="26" t="s">
        <v>179</v>
      </c>
    </row>
    <row r="9" spans="1:15">
      <c r="A9">
        <f t="shared" si="1"/>
        <v>1</v>
      </c>
      <c r="B9" s="27" t="s">
        <v>337</v>
      </c>
      <c r="C9" t="s">
        <v>336</v>
      </c>
      <c r="D9">
        <v>2023</v>
      </c>
      <c r="E9">
        <v>11</v>
      </c>
      <c r="F9">
        <v>7</v>
      </c>
      <c r="G9" s="26" t="s">
        <v>335</v>
      </c>
      <c r="H9" s="26" t="s">
        <v>4229</v>
      </c>
      <c r="I9" s="22">
        <v>379</v>
      </c>
      <c r="J9">
        <v>364</v>
      </c>
      <c r="K9">
        <v>15</v>
      </c>
      <c r="L9" s="28">
        <v>37.11</v>
      </c>
      <c r="M9" s="29">
        <v>0.396939</v>
      </c>
      <c r="N9" s="30">
        <f t="shared" si="0"/>
        <v>93.4904355581084</v>
      </c>
      <c r="O9" s="26" t="s">
        <v>179</v>
      </c>
    </row>
    <row r="10" spans="1:15">
      <c r="A10">
        <f t="shared" si="1"/>
        <v>1</v>
      </c>
      <c r="B10" s="27" t="s">
        <v>368</v>
      </c>
      <c r="C10" t="s">
        <v>367</v>
      </c>
      <c r="D10">
        <v>2023</v>
      </c>
      <c r="E10">
        <v>11</v>
      </c>
      <c r="F10">
        <v>8</v>
      </c>
      <c r="G10" s="26" t="s">
        <v>366</v>
      </c>
      <c r="H10" s="26" t="s">
        <v>4230</v>
      </c>
      <c r="I10" s="22">
        <v>830</v>
      </c>
      <c r="J10">
        <v>815</v>
      </c>
      <c r="K10">
        <v>15</v>
      </c>
      <c r="L10" s="28">
        <v>83.4</v>
      </c>
      <c r="M10" s="29">
        <v>0.396939</v>
      </c>
      <c r="N10" s="30">
        <f t="shared" si="0"/>
        <v>210.107850324609</v>
      </c>
      <c r="O10" s="26" t="s">
        <v>179</v>
      </c>
    </row>
    <row r="11" spans="1:15">
      <c r="A11">
        <f t="shared" si="1"/>
        <v>1</v>
      </c>
      <c r="B11" s="27" t="s">
        <v>398</v>
      </c>
      <c r="C11" t="s">
        <v>397</v>
      </c>
      <c r="D11">
        <v>2023</v>
      </c>
      <c r="E11">
        <v>11</v>
      </c>
      <c r="F11">
        <v>9</v>
      </c>
      <c r="G11" s="26" t="s">
        <v>313</v>
      </c>
      <c r="H11" s="26" t="s">
        <v>4231</v>
      </c>
      <c r="I11" s="22">
        <v>3004</v>
      </c>
      <c r="J11">
        <v>444</v>
      </c>
      <c r="K11">
        <v>15</v>
      </c>
      <c r="L11" s="28">
        <v>47.95</v>
      </c>
      <c r="M11" s="29">
        <v>0.409</v>
      </c>
      <c r="N11" s="30">
        <f t="shared" si="0"/>
        <v>117.237163814181</v>
      </c>
      <c r="O11" s="26" t="s">
        <v>179</v>
      </c>
    </row>
    <row r="12" spans="1:15">
      <c r="A12">
        <f t="shared" si="1"/>
        <v>0</v>
      </c>
      <c r="B12" s="27"/>
      <c r="C12" t="s">
        <v>397</v>
      </c>
      <c r="D12">
        <v>2023</v>
      </c>
      <c r="E12">
        <v>11</v>
      </c>
      <c r="F12">
        <v>9</v>
      </c>
      <c r="G12" s="26" t="s">
        <v>425</v>
      </c>
      <c r="H12" s="26" t="s">
        <v>4232</v>
      </c>
      <c r="J12">
        <v>524</v>
      </c>
      <c r="K12">
        <v>15</v>
      </c>
      <c r="L12" s="28">
        <v>55.79</v>
      </c>
      <c r="M12" s="29">
        <v>0.409</v>
      </c>
      <c r="N12" s="30">
        <f t="shared" si="0"/>
        <v>136.40586797066</v>
      </c>
      <c r="O12" s="26" t="s">
        <v>179</v>
      </c>
    </row>
    <row r="13" spans="1:15">
      <c r="A13">
        <f t="shared" si="1"/>
        <v>0</v>
      </c>
      <c r="B13" s="27"/>
      <c r="C13" t="s">
        <v>397</v>
      </c>
      <c r="D13">
        <v>2023</v>
      </c>
      <c r="E13">
        <v>11</v>
      </c>
      <c r="F13">
        <v>9</v>
      </c>
      <c r="G13" s="26" t="s">
        <v>425</v>
      </c>
      <c r="H13" s="26" t="s">
        <v>4233</v>
      </c>
      <c r="J13">
        <v>513</v>
      </c>
      <c r="K13">
        <v>15</v>
      </c>
      <c r="L13" s="28">
        <v>51.08</v>
      </c>
      <c r="M13" s="29">
        <v>0.409</v>
      </c>
      <c r="N13" s="30">
        <f t="shared" si="0"/>
        <v>124.889975550122</v>
      </c>
      <c r="O13" s="26" t="s">
        <v>179</v>
      </c>
    </row>
    <row r="14" spans="1:15">
      <c r="A14">
        <f t="shared" si="1"/>
        <v>0</v>
      </c>
      <c r="B14" s="27"/>
      <c r="C14" t="s">
        <v>397</v>
      </c>
      <c r="D14">
        <v>2023</v>
      </c>
      <c r="E14">
        <v>11</v>
      </c>
      <c r="F14">
        <v>9</v>
      </c>
      <c r="G14" s="26" t="s">
        <v>313</v>
      </c>
      <c r="H14" s="26" t="s">
        <v>4231</v>
      </c>
      <c r="J14">
        <v>444</v>
      </c>
      <c r="K14">
        <v>15</v>
      </c>
      <c r="L14" s="28">
        <v>47.95</v>
      </c>
      <c r="M14" s="29">
        <v>0.409</v>
      </c>
      <c r="N14" s="30">
        <f t="shared" si="0"/>
        <v>117.237163814181</v>
      </c>
      <c r="O14" s="26" t="s">
        <v>179</v>
      </c>
    </row>
    <row r="15" spans="1:15">
      <c r="A15">
        <f t="shared" si="1"/>
        <v>0</v>
      </c>
      <c r="B15" s="27"/>
      <c r="C15" t="s">
        <v>397</v>
      </c>
      <c r="D15">
        <v>2023</v>
      </c>
      <c r="E15">
        <v>11</v>
      </c>
      <c r="F15">
        <v>9</v>
      </c>
      <c r="G15" s="26" t="s">
        <v>313</v>
      </c>
      <c r="H15" s="26" t="s">
        <v>4231</v>
      </c>
      <c r="J15">
        <v>444</v>
      </c>
      <c r="K15">
        <v>15</v>
      </c>
      <c r="L15" s="28">
        <v>47.95</v>
      </c>
      <c r="M15" s="29">
        <v>0.409</v>
      </c>
      <c r="N15" s="30">
        <f t="shared" si="0"/>
        <v>117.237163814181</v>
      </c>
      <c r="O15" s="26" t="s">
        <v>179</v>
      </c>
    </row>
    <row r="16" spans="1:15">
      <c r="A16">
        <f t="shared" si="1"/>
        <v>0</v>
      </c>
      <c r="B16" s="27"/>
      <c r="C16" t="s">
        <v>397</v>
      </c>
      <c r="D16">
        <v>2023</v>
      </c>
      <c r="E16">
        <v>11</v>
      </c>
      <c r="F16">
        <v>9</v>
      </c>
      <c r="G16" s="26" t="s">
        <v>313</v>
      </c>
      <c r="H16" s="26" t="s">
        <v>4234</v>
      </c>
      <c r="J16">
        <v>545</v>
      </c>
      <c r="K16">
        <v>15</v>
      </c>
      <c r="L16" s="28">
        <v>59.8</v>
      </c>
      <c r="M16" s="29">
        <v>0.409</v>
      </c>
      <c r="N16" s="30">
        <f t="shared" si="0"/>
        <v>146.210268948655</v>
      </c>
      <c r="O16" s="26" t="s">
        <v>179</v>
      </c>
    </row>
    <row r="17" spans="1:15">
      <c r="A17">
        <f t="shared" si="1"/>
        <v>1</v>
      </c>
      <c r="B17" s="27" t="s">
        <v>477</v>
      </c>
      <c r="C17" t="s">
        <v>476</v>
      </c>
      <c r="D17">
        <v>2023</v>
      </c>
      <c r="E17">
        <v>11</v>
      </c>
      <c r="F17">
        <v>10</v>
      </c>
      <c r="G17" s="26" t="s">
        <v>475</v>
      </c>
      <c r="H17" s="26" t="s">
        <v>4235</v>
      </c>
      <c r="I17" s="22">
        <v>869</v>
      </c>
      <c r="J17">
        <v>390</v>
      </c>
      <c r="K17">
        <v>15</v>
      </c>
      <c r="L17" s="28">
        <v>37.96</v>
      </c>
      <c r="M17" s="29">
        <v>0.396939</v>
      </c>
      <c r="N17" s="30">
        <f t="shared" si="0"/>
        <v>95.6318225218484</v>
      </c>
      <c r="O17" s="26" t="s">
        <v>179</v>
      </c>
    </row>
    <row r="18" spans="1:15">
      <c r="A18">
        <f t="shared" si="1"/>
        <v>0</v>
      </c>
      <c r="B18" s="27"/>
      <c r="C18" t="s">
        <v>476</v>
      </c>
      <c r="D18">
        <v>2023</v>
      </c>
      <c r="E18">
        <v>11</v>
      </c>
      <c r="F18">
        <v>10</v>
      </c>
      <c r="G18" s="26" t="s">
        <v>313</v>
      </c>
      <c r="H18" s="26" t="s">
        <v>4236</v>
      </c>
      <c r="J18">
        <v>449</v>
      </c>
      <c r="K18">
        <v>15</v>
      </c>
      <c r="L18" s="28">
        <v>30.83</v>
      </c>
      <c r="M18" s="29">
        <v>0.396939</v>
      </c>
      <c r="N18" s="30">
        <f t="shared" si="0"/>
        <v>77.669364814241</v>
      </c>
      <c r="O18" s="26" t="s">
        <v>179</v>
      </c>
    </row>
    <row r="19" spans="1:15">
      <c r="A19">
        <f t="shared" si="1"/>
        <v>1</v>
      </c>
      <c r="B19" s="27" t="s">
        <v>519</v>
      </c>
      <c r="C19" t="s">
        <v>518</v>
      </c>
      <c r="D19">
        <v>2023</v>
      </c>
      <c r="E19">
        <v>11</v>
      </c>
      <c r="F19">
        <v>10</v>
      </c>
      <c r="G19" s="26" t="s">
        <v>517</v>
      </c>
      <c r="H19" s="26" t="s">
        <v>4237</v>
      </c>
      <c r="I19" s="22">
        <v>934</v>
      </c>
      <c r="J19">
        <v>345</v>
      </c>
      <c r="K19">
        <v>15</v>
      </c>
      <c r="L19" s="28">
        <v>34.07</v>
      </c>
      <c r="M19" s="29">
        <v>0.396939</v>
      </c>
      <c r="N19" s="30">
        <f t="shared" si="0"/>
        <v>85.8318280642618</v>
      </c>
      <c r="O19" s="26" t="s">
        <v>179</v>
      </c>
    </row>
    <row r="20" spans="1:15">
      <c r="A20">
        <f t="shared" si="1"/>
        <v>0</v>
      </c>
      <c r="B20" s="27"/>
      <c r="C20" t="s">
        <v>518</v>
      </c>
      <c r="D20">
        <v>2023</v>
      </c>
      <c r="E20">
        <v>11</v>
      </c>
      <c r="F20">
        <v>10</v>
      </c>
      <c r="G20" s="26" t="s">
        <v>549</v>
      </c>
      <c r="H20" s="26" t="s">
        <v>4238</v>
      </c>
      <c r="J20">
        <v>559</v>
      </c>
      <c r="K20">
        <v>15</v>
      </c>
      <c r="L20" s="28">
        <v>60.71</v>
      </c>
      <c r="M20" s="29">
        <v>0.396939</v>
      </c>
      <c r="N20" s="30">
        <f t="shared" si="0"/>
        <v>152.945414786655</v>
      </c>
      <c r="O20" s="26" t="s">
        <v>179</v>
      </c>
    </row>
    <row r="21" spans="1:15">
      <c r="A21">
        <f t="shared" si="1"/>
        <v>1</v>
      </c>
      <c r="B21" s="27" t="s">
        <v>563</v>
      </c>
      <c r="C21" t="s">
        <v>562</v>
      </c>
      <c r="D21">
        <v>2023</v>
      </c>
      <c r="E21">
        <v>11</v>
      </c>
      <c r="F21">
        <v>11</v>
      </c>
      <c r="G21" s="26" t="s">
        <v>313</v>
      </c>
      <c r="H21" s="26" t="s">
        <v>4239</v>
      </c>
      <c r="I21" s="22">
        <v>336</v>
      </c>
      <c r="J21">
        <v>321</v>
      </c>
      <c r="K21">
        <v>15</v>
      </c>
      <c r="L21" s="28">
        <v>28.78</v>
      </c>
      <c r="M21" s="29">
        <v>0.396939</v>
      </c>
      <c r="N21" s="30">
        <f t="shared" si="0"/>
        <v>72.5048433134562</v>
      </c>
      <c r="O21" s="26" t="s">
        <v>179</v>
      </c>
    </row>
    <row r="22" spans="1:15">
      <c r="A22">
        <f t="shared" si="1"/>
        <v>1</v>
      </c>
      <c r="B22" s="27" t="s">
        <v>589</v>
      </c>
      <c r="C22" t="s">
        <v>588</v>
      </c>
      <c r="D22">
        <v>2023</v>
      </c>
      <c r="E22">
        <v>11</v>
      </c>
      <c r="F22">
        <v>14</v>
      </c>
      <c r="G22" s="26" t="s">
        <v>245</v>
      </c>
      <c r="H22" s="26" t="s">
        <v>4240</v>
      </c>
      <c r="I22" s="22">
        <v>754</v>
      </c>
      <c r="J22">
        <v>362</v>
      </c>
      <c r="K22">
        <v>15</v>
      </c>
      <c r="L22" s="28">
        <v>27.81</v>
      </c>
      <c r="M22" s="29">
        <v>0.409</v>
      </c>
      <c r="N22" s="30">
        <f t="shared" si="0"/>
        <v>67.9951100244499</v>
      </c>
      <c r="O22" s="26" t="s">
        <v>179</v>
      </c>
    </row>
    <row r="23" spans="1:15">
      <c r="A23">
        <f t="shared" si="1"/>
        <v>0</v>
      </c>
      <c r="B23" s="27"/>
      <c r="C23" t="s">
        <v>588</v>
      </c>
      <c r="D23">
        <v>2023</v>
      </c>
      <c r="E23">
        <v>11</v>
      </c>
      <c r="F23">
        <v>14</v>
      </c>
      <c r="G23" s="26" t="s">
        <v>245</v>
      </c>
      <c r="H23" s="26" t="s">
        <v>4240</v>
      </c>
      <c r="J23">
        <v>362</v>
      </c>
      <c r="K23">
        <v>15</v>
      </c>
      <c r="L23" s="28">
        <v>27.81</v>
      </c>
      <c r="M23" s="29">
        <v>0.409</v>
      </c>
      <c r="N23" s="30">
        <f t="shared" si="0"/>
        <v>67.9951100244499</v>
      </c>
      <c r="O23" s="26" t="s">
        <v>179</v>
      </c>
    </row>
    <row r="24" spans="1:15">
      <c r="A24">
        <f t="shared" si="1"/>
        <v>1</v>
      </c>
      <c r="B24" s="27" t="s">
        <v>622</v>
      </c>
      <c r="C24" t="s">
        <v>621</v>
      </c>
      <c r="D24">
        <v>2023</v>
      </c>
      <c r="E24">
        <v>11</v>
      </c>
      <c r="F24">
        <v>15</v>
      </c>
      <c r="G24" s="26" t="s">
        <v>620</v>
      </c>
      <c r="H24" s="26" t="s">
        <v>4241</v>
      </c>
      <c r="I24" s="22">
        <v>793</v>
      </c>
      <c r="J24">
        <v>778</v>
      </c>
      <c r="K24">
        <v>15</v>
      </c>
      <c r="L24" s="28">
        <v>64.27</v>
      </c>
      <c r="M24" s="29">
        <v>0.396939</v>
      </c>
      <c r="N24" s="30">
        <f t="shared" si="0"/>
        <v>161.914047246554</v>
      </c>
      <c r="O24" s="26" t="s">
        <v>179</v>
      </c>
    </row>
    <row r="25" spans="1:15">
      <c r="A25">
        <f t="shared" si="1"/>
        <v>1</v>
      </c>
      <c r="B25" s="27" t="s">
        <v>650</v>
      </c>
      <c r="C25" t="s">
        <v>649</v>
      </c>
      <c r="D25">
        <v>2023</v>
      </c>
      <c r="E25">
        <v>11</v>
      </c>
      <c r="F25">
        <v>15</v>
      </c>
      <c r="G25" s="26" t="s">
        <v>648</v>
      </c>
      <c r="H25" s="26" t="s">
        <v>4242</v>
      </c>
      <c r="I25" s="22">
        <v>554</v>
      </c>
      <c r="J25">
        <v>539</v>
      </c>
      <c r="K25">
        <v>15</v>
      </c>
      <c r="L25" s="28">
        <v>47.17</v>
      </c>
      <c r="M25" s="29">
        <v>0.396939</v>
      </c>
      <c r="N25" s="30">
        <f t="shared" si="0"/>
        <v>118.834380093667</v>
      </c>
      <c r="O25" s="26" t="s">
        <v>179</v>
      </c>
    </row>
    <row r="26" spans="1:15">
      <c r="A26">
        <f t="shared" si="1"/>
        <v>1</v>
      </c>
      <c r="B26" s="27" t="s">
        <v>679</v>
      </c>
      <c r="C26" t="s">
        <v>678</v>
      </c>
      <c r="D26">
        <v>2023</v>
      </c>
      <c r="E26">
        <v>11</v>
      </c>
      <c r="F26">
        <v>17</v>
      </c>
      <c r="G26" s="26" t="s">
        <v>620</v>
      </c>
      <c r="H26" s="26" t="s">
        <v>4243</v>
      </c>
      <c r="I26" s="22">
        <v>550</v>
      </c>
      <c r="J26">
        <v>535</v>
      </c>
      <c r="K26">
        <v>15</v>
      </c>
      <c r="L26" s="28">
        <v>37.76</v>
      </c>
      <c r="M26" s="29">
        <v>0.409</v>
      </c>
      <c r="N26" s="30">
        <f t="shared" si="0"/>
        <v>92.3227383863081</v>
      </c>
      <c r="O26" s="26" t="s">
        <v>179</v>
      </c>
    </row>
    <row r="27" spans="1:15">
      <c r="A27">
        <f t="shared" si="1"/>
        <v>1</v>
      </c>
      <c r="B27" s="27" t="s">
        <v>709</v>
      </c>
      <c r="C27" t="s">
        <v>708</v>
      </c>
      <c r="D27">
        <v>2023</v>
      </c>
      <c r="E27">
        <v>11</v>
      </c>
      <c r="F27">
        <v>17</v>
      </c>
      <c r="G27" s="26" t="s">
        <v>707</v>
      </c>
      <c r="H27" s="26" t="s">
        <v>4244</v>
      </c>
      <c r="I27" s="22">
        <v>930</v>
      </c>
      <c r="J27">
        <v>450</v>
      </c>
      <c r="K27">
        <v>15</v>
      </c>
      <c r="L27" s="28">
        <v>45.99</v>
      </c>
      <c r="M27" s="29">
        <v>0.409</v>
      </c>
      <c r="N27" s="30">
        <f t="shared" si="0"/>
        <v>112.444987775061</v>
      </c>
      <c r="O27" s="26" t="s">
        <v>179</v>
      </c>
    </row>
    <row r="28" spans="1:15">
      <c r="A28">
        <f t="shared" si="1"/>
        <v>0</v>
      </c>
      <c r="B28" s="27"/>
      <c r="C28" t="s">
        <v>708</v>
      </c>
      <c r="D28">
        <v>2023</v>
      </c>
      <c r="E28">
        <v>11</v>
      </c>
      <c r="F28">
        <v>17</v>
      </c>
      <c r="G28" s="26" t="s">
        <v>707</v>
      </c>
      <c r="H28" s="26" t="s">
        <v>4244</v>
      </c>
      <c r="J28">
        <v>450</v>
      </c>
      <c r="K28">
        <v>15</v>
      </c>
      <c r="L28" s="28">
        <v>45.99</v>
      </c>
      <c r="M28" s="29">
        <v>0.409</v>
      </c>
      <c r="N28" s="30">
        <f t="shared" si="0"/>
        <v>112.444987775061</v>
      </c>
      <c r="O28" s="26" t="s">
        <v>179</v>
      </c>
    </row>
    <row r="29" spans="1:15">
      <c r="A29">
        <f t="shared" si="1"/>
        <v>1</v>
      </c>
      <c r="B29" s="27" t="s">
        <v>740</v>
      </c>
      <c r="C29" t="s">
        <v>739</v>
      </c>
      <c r="D29">
        <v>2023</v>
      </c>
      <c r="E29">
        <v>11</v>
      </c>
      <c r="F29">
        <v>17</v>
      </c>
      <c r="G29" s="26" t="s">
        <v>245</v>
      </c>
      <c r="H29" s="26" t="s">
        <v>4245</v>
      </c>
      <c r="I29" s="22">
        <v>437</v>
      </c>
      <c r="J29">
        <v>422</v>
      </c>
      <c r="K29">
        <v>15</v>
      </c>
      <c r="L29" s="28">
        <v>34.04</v>
      </c>
      <c r="M29" s="29">
        <v>0.409</v>
      </c>
      <c r="N29" s="30">
        <f t="shared" si="0"/>
        <v>83.2273838630807</v>
      </c>
      <c r="O29" s="26" t="s">
        <v>179</v>
      </c>
    </row>
    <row r="30" spans="1:15">
      <c r="A30">
        <f t="shared" si="1"/>
        <v>1</v>
      </c>
      <c r="B30" s="27" t="s">
        <v>767</v>
      </c>
      <c r="C30" t="s">
        <v>766</v>
      </c>
      <c r="D30">
        <v>2023</v>
      </c>
      <c r="E30">
        <v>11</v>
      </c>
      <c r="F30">
        <v>18</v>
      </c>
      <c r="G30" s="26" t="s">
        <v>765</v>
      </c>
      <c r="H30" s="26" t="s">
        <v>4246</v>
      </c>
      <c r="I30" s="22">
        <v>350</v>
      </c>
      <c r="J30">
        <v>335</v>
      </c>
      <c r="K30">
        <v>0</v>
      </c>
      <c r="L30" s="28">
        <v>66.32</v>
      </c>
      <c r="M30" s="29">
        <v>0.410812</v>
      </c>
      <c r="N30" s="30">
        <f t="shared" si="0"/>
        <v>161.436374789441</v>
      </c>
      <c r="O30" s="26" t="s">
        <v>779</v>
      </c>
    </row>
    <row r="31" spans="1:15">
      <c r="A31">
        <f t="shared" si="1"/>
        <v>1</v>
      </c>
      <c r="B31" s="27" t="s">
        <v>790</v>
      </c>
      <c r="C31" t="s">
        <v>789</v>
      </c>
      <c r="D31">
        <v>2023</v>
      </c>
      <c r="E31">
        <v>11</v>
      </c>
      <c r="F31">
        <v>18</v>
      </c>
      <c r="G31" s="26" t="s">
        <v>245</v>
      </c>
      <c r="H31" s="26" t="s">
        <v>4247</v>
      </c>
      <c r="I31" s="22">
        <v>356</v>
      </c>
      <c r="J31">
        <v>341</v>
      </c>
      <c r="K31">
        <v>15</v>
      </c>
      <c r="L31" s="28">
        <v>26.6</v>
      </c>
      <c r="M31" s="29">
        <v>0.409</v>
      </c>
      <c r="N31" s="30">
        <f t="shared" si="0"/>
        <v>65.0366748166259</v>
      </c>
      <c r="O31" s="26" t="s">
        <v>179</v>
      </c>
    </row>
    <row r="32" spans="1:15">
      <c r="A32">
        <f t="shared" si="1"/>
        <v>1</v>
      </c>
      <c r="B32" s="27" t="s">
        <v>819</v>
      </c>
      <c r="C32" t="s">
        <v>818</v>
      </c>
      <c r="D32">
        <v>2023</v>
      </c>
      <c r="E32">
        <v>11</v>
      </c>
      <c r="F32">
        <v>18</v>
      </c>
      <c r="G32" s="26" t="s">
        <v>366</v>
      </c>
      <c r="H32" s="26" t="s">
        <v>4248</v>
      </c>
      <c r="I32" s="22">
        <v>708</v>
      </c>
      <c r="J32">
        <v>693</v>
      </c>
      <c r="K32">
        <v>15</v>
      </c>
      <c r="L32" s="28">
        <v>39.2</v>
      </c>
      <c r="M32" s="29">
        <v>0.409</v>
      </c>
      <c r="N32" s="30">
        <f t="shared" si="0"/>
        <v>95.8435207823961</v>
      </c>
      <c r="O32" s="26" t="s">
        <v>179</v>
      </c>
    </row>
    <row r="33" spans="1:15">
      <c r="A33">
        <f t="shared" si="1"/>
        <v>1</v>
      </c>
      <c r="B33" s="27" t="s">
        <v>846</v>
      </c>
      <c r="C33" t="s">
        <v>845</v>
      </c>
      <c r="D33">
        <v>2023</v>
      </c>
      <c r="E33">
        <v>11</v>
      </c>
      <c r="F33">
        <v>19</v>
      </c>
      <c r="G33" s="26" t="s">
        <v>245</v>
      </c>
      <c r="H33" s="26" t="s">
        <v>4249</v>
      </c>
      <c r="I33" s="22">
        <v>1317</v>
      </c>
      <c r="J33">
        <v>409</v>
      </c>
      <c r="K33">
        <v>15</v>
      </c>
      <c r="L33" s="28">
        <v>35.71</v>
      </c>
      <c r="M33" s="29">
        <v>0.409</v>
      </c>
      <c r="N33" s="30">
        <f t="shared" si="0"/>
        <v>87.3105134474328</v>
      </c>
      <c r="O33" s="26" t="s">
        <v>179</v>
      </c>
    </row>
    <row r="34" spans="1:15">
      <c r="A34">
        <f t="shared" si="1"/>
        <v>0</v>
      </c>
      <c r="B34" s="27"/>
      <c r="C34" t="s">
        <v>845</v>
      </c>
      <c r="D34">
        <v>2023</v>
      </c>
      <c r="E34">
        <v>11</v>
      </c>
      <c r="F34">
        <v>19</v>
      </c>
      <c r="G34" s="26" t="s">
        <v>335</v>
      </c>
      <c r="H34" s="26" t="s">
        <v>4250</v>
      </c>
      <c r="J34">
        <v>384</v>
      </c>
      <c r="K34">
        <v>15</v>
      </c>
      <c r="L34" s="28">
        <v>43.79</v>
      </c>
      <c r="M34" s="29">
        <v>0.409</v>
      </c>
      <c r="N34" s="30">
        <f t="shared" si="0"/>
        <v>107.066014669927</v>
      </c>
      <c r="O34" s="26" t="s">
        <v>179</v>
      </c>
    </row>
    <row r="35" spans="1:15">
      <c r="A35">
        <f t="shared" si="1"/>
        <v>0</v>
      </c>
      <c r="B35" s="27"/>
      <c r="C35" t="s">
        <v>845</v>
      </c>
      <c r="D35">
        <v>2023</v>
      </c>
      <c r="E35">
        <v>11</v>
      </c>
      <c r="F35">
        <v>19</v>
      </c>
      <c r="G35" s="26" t="s">
        <v>335</v>
      </c>
      <c r="H35" s="26" t="s">
        <v>4251</v>
      </c>
      <c r="J35">
        <v>479</v>
      </c>
      <c r="K35">
        <v>15</v>
      </c>
      <c r="L35" s="28">
        <v>54.27</v>
      </c>
      <c r="M35" s="29">
        <v>0.409</v>
      </c>
      <c r="N35" s="30">
        <f t="shared" si="0"/>
        <v>132.689486552567</v>
      </c>
      <c r="O35" s="26" t="s">
        <v>179</v>
      </c>
    </row>
    <row r="36" spans="1:15">
      <c r="A36">
        <f t="shared" si="1"/>
        <v>1</v>
      </c>
      <c r="B36" s="27" t="s">
        <v>896</v>
      </c>
      <c r="C36" t="s">
        <v>895</v>
      </c>
      <c r="D36">
        <v>2023</v>
      </c>
      <c r="E36">
        <v>11</v>
      </c>
      <c r="F36">
        <v>19</v>
      </c>
      <c r="G36" s="26" t="s">
        <v>894</v>
      </c>
      <c r="H36" s="26" t="s">
        <v>4252</v>
      </c>
      <c r="I36" s="22">
        <v>576</v>
      </c>
      <c r="J36">
        <v>561</v>
      </c>
      <c r="K36">
        <v>15</v>
      </c>
      <c r="L36" s="28">
        <v>23.97</v>
      </c>
      <c r="M36" s="29">
        <v>0.409</v>
      </c>
      <c r="N36" s="30">
        <f t="shared" si="0"/>
        <v>58.6063569682152</v>
      </c>
      <c r="O36" s="26" t="s">
        <v>179</v>
      </c>
    </row>
    <row r="37" spans="1:15">
      <c r="A37">
        <f t="shared" si="1"/>
        <v>1</v>
      </c>
      <c r="B37" s="27" t="s">
        <v>924</v>
      </c>
      <c r="C37" t="s">
        <v>923</v>
      </c>
      <c r="D37">
        <v>2023</v>
      </c>
      <c r="E37">
        <v>11</v>
      </c>
      <c r="F37">
        <v>19</v>
      </c>
      <c r="G37" s="26" t="s">
        <v>210</v>
      </c>
      <c r="H37" s="26" t="s">
        <v>4253</v>
      </c>
      <c r="I37" s="22">
        <v>698</v>
      </c>
      <c r="J37">
        <v>683</v>
      </c>
      <c r="K37">
        <v>15</v>
      </c>
      <c r="L37" s="28">
        <v>53.23</v>
      </c>
      <c r="M37" s="29">
        <v>0.409</v>
      </c>
      <c r="N37" s="30">
        <f t="shared" si="0"/>
        <v>130.146699266504</v>
      </c>
      <c r="O37" s="26" t="s">
        <v>179</v>
      </c>
    </row>
    <row r="38" spans="1:15">
      <c r="A38">
        <f t="shared" si="1"/>
        <v>1</v>
      </c>
      <c r="B38" s="27" t="s">
        <v>952</v>
      </c>
      <c r="C38" t="s">
        <v>951</v>
      </c>
      <c r="D38">
        <v>2023</v>
      </c>
      <c r="E38">
        <v>11</v>
      </c>
      <c r="F38">
        <v>20</v>
      </c>
      <c r="G38" s="26" t="s">
        <v>707</v>
      </c>
      <c r="H38" s="26" t="s">
        <v>4254</v>
      </c>
      <c r="I38" s="22">
        <v>949</v>
      </c>
      <c r="J38">
        <v>542</v>
      </c>
      <c r="K38">
        <v>15</v>
      </c>
      <c r="L38" s="28">
        <v>88.05</v>
      </c>
      <c r="M38" s="29">
        <v>0.409</v>
      </c>
      <c r="N38" s="30">
        <f t="shared" si="0"/>
        <v>215.281173594132</v>
      </c>
      <c r="O38" s="26" t="s">
        <v>179</v>
      </c>
    </row>
    <row r="39" spans="1:15">
      <c r="A39">
        <f t="shared" si="1"/>
        <v>0</v>
      </c>
      <c r="B39" s="27"/>
      <c r="C39" t="s">
        <v>951</v>
      </c>
      <c r="D39">
        <v>2023</v>
      </c>
      <c r="E39">
        <v>11</v>
      </c>
      <c r="F39">
        <v>20</v>
      </c>
      <c r="G39" s="26" t="s">
        <v>707</v>
      </c>
      <c r="H39" s="26" t="s">
        <v>4254</v>
      </c>
      <c r="J39">
        <v>377</v>
      </c>
      <c r="K39">
        <v>15</v>
      </c>
      <c r="L39" s="28">
        <v>38.12</v>
      </c>
      <c r="M39" s="29">
        <v>0.409</v>
      </c>
      <c r="N39" s="30">
        <f t="shared" si="0"/>
        <v>93.2029339853301</v>
      </c>
      <c r="O39" s="26" t="s">
        <v>179</v>
      </c>
    </row>
    <row r="40" spans="1:15">
      <c r="A40">
        <f t="shared" si="1"/>
        <v>1</v>
      </c>
      <c r="B40" s="27" t="s">
        <v>992</v>
      </c>
      <c r="C40" t="s">
        <v>991</v>
      </c>
      <c r="D40">
        <v>2023</v>
      </c>
      <c r="E40">
        <v>11</v>
      </c>
      <c r="F40">
        <v>20</v>
      </c>
      <c r="G40" s="26" t="s">
        <v>990</v>
      </c>
      <c r="H40" s="26" t="s">
        <v>993</v>
      </c>
      <c r="I40" s="22">
        <v>892</v>
      </c>
      <c r="J40">
        <v>877</v>
      </c>
      <c r="K40">
        <v>15</v>
      </c>
      <c r="L40" s="28">
        <v>51.77</v>
      </c>
      <c r="M40" s="29">
        <v>0.409</v>
      </c>
      <c r="N40" s="30">
        <f t="shared" si="0"/>
        <v>126.577017114914</v>
      </c>
      <c r="O40" s="26" t="s">
        <v>179</v>
      </c>
    </row>
    <row r="41" spans="1:15">
      <c r="A41">
        <f t="shared" si="1"/>
        <v>1</v>
      </c>
      <c r="B41" s="27" t="s">
        <v>1023</v>
      </c>
      <c r="C41" t="s">
        <v>1022</v>
      </c>
      <c r="D41">
        <v>2023</v>
      </c>
      <c r="E41">
        <v>11</v>
      </c>
      <c r="F41">
        <v>20</v>
      </c>
      <c r="G41" s="26" t="s">
        <v>366</v>
      </c>
      <c r="H41" s="26" t="s">
        <v>4255</v>
      </c>
      <c r="I41" s="22">
        <v>1616</v>
      </c>
      <c r="J41">
        <v>793</v>
      </c>
      <c r="K41">
        <v>15</v>
      </c>
      <c r="L41" s="28">
        <v>72.72</v>
      </c>
      <c r="M41" s="29">
        <v>0.409</v>
      </c>
      <c r="N41" s="30">
        <f t="shared" si="0"/>
        <v>177.799511002445</v>
      </c>
      <c r="O41" s="26" t="s">
        <v>179</v>
      </c>
    </row>
    <row r="42" spans="1:15">
      <c r="A42">
        <f t="shared" si="1"/>
        <v>0</v>
      </c>
      <c r="B42" s="27"/>
      <c r="C42" t="s">
        <v>1022</v>
      </c>
      <c r="D42">
        <v>2023</v>
      </c>
      <c r="E42">
        <v>11</v>
      </c>
      <c r="F42">
        <v>20</v>
      </c>
      <c r="G42" s="26" t="s">
        <v>366</v>
      </c>
      <c r="H42" s="26" t="s">
        <v>4255</v>
      </c>
      <c r="J42">
        <v>793</v>
      </c>
      <c r="K42">
        <v>15</v>
      </c>
      <c r="L42" s="28">
        <v>70.72</v>
      </c>
      <c r="M42" s="29">
        <v>0.409</v>
      </c>
      <c r="N42" s="30">
        <f t="shared" si="0"/>
        <v>172.909535452323</v>
      </c>
      <c r="O42" s="26" t="s">
        <v>179</v>
      </c>
    </row>
    <row r="43" spans="1:15">
      <c r="A43">
        <f t="shared" si="1"/>
        <v>1</v>
      </c>
      <c r="B43" s="27" t="s">
        <v>1052</v>
      </c>
      <c r="C43" t="s">
        <v>1051</v>
      </c>
      <c r="D43">
        <v>2023</v>
      </c>
      <c r="E43">
        <v>11</v>
      </c>
      <c r="F43">
        <v>21</v>
      </c>
      <c r="G43" s="26" t="s">
        <v>765</v>
      </c>
      <c r="H43" s="26" t="s">
        <v>4256</v>
      </c>
      <c r="I43" s="22">
        <v>343</v>
      </c>
      <c r="J43">
        <v>328</v>
      </c>
      <c r="K43">
        <v>15</v>
      </c>
      <c r="L43" s="28">
        <v>20.09</v>
      </c>
      <c r="M43" s="29">
        <v>0.409</v>
      </c>
      <c r="N43" s="30">
        <f t="shared" si="0"/>
        <v>49.119804400978</v>
      </c>
      <c r="O43" s="26" t="s">
        <v>179</v>
      </c>
    </row>
    <row r="44" spans="1:15">
      <c r="A44">
        <f t="shared" si="1"/>
        <v>1</v>
      </c>
      <c r="B44" s="27" t="s">
        <v>1078</v>
      </c>
      <c r="C44" t="s">
        <v>1077</v>
      </c>
      <c r="D44">
        <v>2023</v>
      </c>
      <c r="E44">
        <v>11</v>
      </c>
      <c r="F44">
        <v>21</v>
      </c>
      <c r="G44" s="26" t="s">
        <v>1076</v>
      </c>
      <c r="H44" s="26" t="s">
        <v>4257</v>
      </c>
      <c r="I44" s="22">
        <v>600</v>
      </c>
      <c r="J44">
        <v>285</v>
      </c>
      <c r="K44">
        <v>15</v>
      </c>
      <c r="L44" s="28">
        <v>31.67</v>
      </c>
      <c r="M44" s="29">
        <v>0.409</v>
      </c>
      <c r="N44" s="30">
        <f t="shared" si="0"/>
        <v>77.4327628361858</v>
      </c>
      <c r="O44" s="26" t="s">
        <v>179</v>
      </c>
    </row>
    <row r="45" spans="1:15">
      <c r="A45">
        <f t="shared" si="1"/>
        <v>0</v>
      </c>
      <c r="B45" s="27"/>
      <c r="C45" t="s">
        <v>1077</v>
      </c>
      <c r="D45">
        <v>2023</v>
      </c>
      <c r="E45">
        <v>11</v>
      </c>
      <c r="F45">
        <v>21</v>
      </c>
      <c r="G45" s="26" t="s">
        <v>1076</v>
      </c>
      <c r="H45" s="26" t="s">
        <v>4257</v>
      </c>
      <c r="J45">
        <v>285</v>
      </c>
      <c r="K45">
        <v>15</v>
      </c>
      <c r="L45" s="28">
        <v>32.04</v>
      </c>
      <c r="M45" s="29">
        <v>0.409</v>
      </c>
      <c r="N45" s="30">
        <f t="shared" si="0"/>
        <v>78.3374083129584</v>
      </c>
      <c r="O45" s="26" t="s">
        <v>179</v>
      </c>
    </row>
    <row r="46" spans="1:15">
      <c r="A46">
        <f t="shared" si="1"/>
        <v>1</v>
      </c>
      <c r="B46" s="27" t="s">
        <v>1111</v>
      </c>
      <c r="C46" t="s">
        <v>1110</v>
      </c>
      <c r="D46">
        <v>2023</v>
      </c>
      <c r="E46">
        <v>11</v>
      </c>
      <c r="F46">
        <v>21</v>
      </c>
      <c r="G46" s="26" t="s">
        <v>1109</v>
      </c>
      <c r="H46" s="26" t="s">
        <v>4258</v>
      </c>
      <c r="I46" s="22">
        <v>508</v>
      </c>
      <c r="J46">
        <v>493</v>
      </c>
      <c r="K46">
        <v>15</v>
      </c>
      <c r="L46" s="28">
        <v>28.1</v>
      </c>
      <c r="M46" s="29">
        <v>0.409</v>
      </c>
      <c r="N46" s="30">
        <f t="shared" si="0"/>
        <v>68.7041564792176</v>
      </c>
      <c r="O46" s="26" t="s">
        <v>179</v>
      </c>
    </row>
    <row r="47" spans="1:15">
      <c r="A47">
        <f t="shared" si="1"/>
        <v>1</v>
      </c>
      <c r="B47" s="27" t="s">
        <v>1134</v>
      </c>
      <c r="C47" t="s">
        <v>1133</v>
      </c>
      <c r="D47">
        <v>2023</v>
      </c>
      <c r="E47">
        <v>11</v>
      </c>
      <c r="F47">
        <v>21</v>
      </c>
      <c r="G47" s="26" t="s">
        <v>1132</v>
      </c>
      <c r="H47" s="26" t="s">
        <v>4259</v>
      </c>
      <c r="I47" s="22">
        <v>396</v>
      </c>
      <c r="J47">
        <v>381</v>
      </c>
      <c r="K47">
        <v>15</v>
      </c>
      <c r="L47" s="28">
        <v>23.86</v>
      </c>
      <c r="M47" s="29">
        <v>0.409</v>
      </c>
      <c r="N47" s="30">
        <f t="shared" si="0"/>
        <v>58.3374083129584</v>
      </c>
      <c r="O47" s="26" t="s">
        <v>179</v>
      </c>
    </row>
    <row r="48" spans="1:15">
      <c r="A48">
        <f t="shared" si="1"/>
        <v>1</v>
      </c>
      <c r="B48" s="27" t="s">
        <v>1157</v>
      </c>
      <c r="C48" t="s">
        <v>1156</v>
      </c>
      <c r="D48">
        <v>2023</v>
      </c>
      <c r="E48">
        <v>11</v>
      </c>
      <c r="F48">
        <v>21</v>
      </c>
      <c r="G48" s="26" t="s">
        <v>549</v>
      </c>
      <c r="H48" s="26" t="s">
        <v>4260</v>
      </c>
      <c r="I48" s="22">
        <v>446</v>
      </c>
      <c r="J48">
        <v>431</v>
      </c>
      <c r="K48">
        <v>15</v>
      </c>
      <c r="L48" s="28">
        <v>29.13</v>
      </c>
      <c r="M48" s="29">
        <v>0.409</v>
      </c>
      <c r="N48" s="30">
        <f t="shared" si="0"/>
        <v>71.2224938875306</v>
      </c>
      <c r="O48" s="26" t="s">
        <v>179</v>
      </c>
    </row>
    <row r="49" spans="1:15">
      <c r="A49">
        <f t="shared" si="1"/>
        <v>1</v>
      </c>
      <c r="B49" s="27" t="s">
        <v>1181</v>
      </c>
      <c r="C49" t="s">
        <v>1180</v>
      </c>
      <c r="D49">
        <v>2023</v>
      </c>
      <c r="E49">
        <v>11</v>
      </c>
      <c r="F49">
        <v>21</v>
      </c>
      <c r="G49" s="26" t="s">
        <v>210</v>
      </c>
      <c r="H49" s="26" t="s">
        <v>4261</v>
      </c>
      <c r="I49" s="22">
        <v>361</v>
      </c>
      <c r="J49">
        <v>346</v>
      </c>
      <c r="K49">
        <v>15</v>
      </c>
      <c r="L49" s="28">
        <v>29.13</v>
      </c>
      <c r="M49" s="29">
        <v>0.409</v>
      </c>
      <c r="N49" s="30">
        <f t="shared" si="0"/>
        <v>71.2224938875306</v>
      </c>
      <c r="O49" s="26" t="s">
        <v>179</v>
      </c>
    </row>
    <row r="50" spans="1:15">
      <c r="A50">
        <f t="shared" si="1"/>
        <v>1</v>
      </c>
      <c r="B50" s="27" t="s">
        <v>1205</v>
      </c>
      <c r="C50" t="s">
        <v>1204</v>
      </c>
      <c r="D50">
        <v>2023</v>
      </c>
      <c r="E50">
        <v>11</v>
      </c>
      <c r="F50">
        <v>21</v>
      </c>
      <c r="G50" s="26" t="s">
        <v>245</v>
      </c>
      <c r="H50" s="26" t="s">
        <v>4262</v>
      </c>
      <c r="I50" s="22">
        <v>289</v>
      </c>
      <c r="J50">
        <v>274</v>
      </c>
      <c r="K50">
        <v>15</v>
      </c>
      <c r="L50" s="28">
        <v>8.84</v>
      </c>
      <c r="M50" s="29">
        <v>0.409</v>
      </c>
      <c r="N50" s="30">
        <f t="shared" si="0"/>
        <v>21.6136919315403</v>
      </c>
      <c r="O50" s="26" t="s">
        <v>179</v>
      </c>
    </row>
    <row r="51" spans="1:15">
      <c r="A51">
        <f t="shared" si="1"/>
        <v>1</v>
      </c>
      <c r="B51" s="27" t="s">
        <v>1230</v>
      </c>
      <c r="C51" t="s">
        <v>1229</v>
      </c>
      <c r="D51">
        <v>2023</v>
      </c>
      <c r="E51">
        <v>11</v>
      </c>
      <c r="F51">
        <v>21</v>
      </c>
      <c r="G51" s="26" t="s">
        <v>335</v>
      </c>
      <c r="H51" s="26" t="s">
        <v>4229</v>
      </c>
      <c r="I51" s="22">
        <v>363</v>
      </c>
      <c r="J51">
        <v>348</v>
      </c>
      <c r="K51">
        <v>15</v>
      </c>
      <c r="L51" s="28">
        <v>34.77</v>
      </c>
      <c r="M51" s="29">
        <v>0.409</v>
      </c>
      <c r="N51" s="30">
        <f t="shared" si="0"/>
        <v>85.0122249388753</v>
      </c>
      <c r="O51" s="26" t="s">
        <v>179</v>
      </c>
    </row>
    <row r="52" spans="1:15">
      <c r="A52">
        <f t="shared" si="1"/>
        <v>1</v>
      </c>
      <c r="B52" s="27" t="s">
        <v>1254</v>
      </c>
      <c r="C52" t="s">
        <v>1253</v>
      </c>
      <c r="D52">
        <v>2023</v>
      </c>
      <c r="E52">
        <v>11</v>
      </c>
      <c r="F52">
        <v>21</v>
      </c>
      <c r="G52" s="26" t="s">
        <v>1252</v>
      </c>
      <c r="H52" s="26" t="s">
        <v>4263</v>
      </c>
      <c r="I52" s="22">
        <v>285</v>
      </c>
      <c r="J52">
        <v>270</v>
      </c>
      <c r="K52">
        <v>15</v>
      </c>
      <c r="L52" s="28">
        <v>20.88</v>
      </c>
      <c r="M52" s="29">
        <v>0.409</v>
      </c>
      <c r="N52" s="30">
        <f t="shared" si="0"/>
        <v>51.0513447432763</v>
      </c>
      <c r="O52" s="26" t="s">
        <v>179</v>
      </c>
    </row>
    <row r="53" spans="1:15">
      <c r="A53">
        <f t="shared" si="1"/>
        <v>1</v>
      </c>
      <c r="B53" s="27" t="s">
        <v>1278</v>
      </c>
      <c r="C53" t="s">
        <v>1277</v>
      </c>
      <c r="D53">
        <v>2023</v>
      </c>
      <c r="E53">
        <v>11</v>
      </c>
      <c r="F53">
        <v>21</v>
      </c>
      <c r="G53" s="26" t="s">
        <v>707</v>
      </c>
      <c r="H53" s="26" t="s">
        <v>4264</v>
      </c>
      <c r="I53" s="22">
        <v>448</v>
      </c>
      <c r="J53">
        <v>433</v>
      </c>
      <c r="K53">
        <v>15</v>
      </c>
      <c r="L53" s="28">
        <v>28.73</v>
      </c>
      <c r="M53" s="29">
        <v>0.409</v>
      </c>
      <c r="N53" s="30">
        <f t="shared" si="0"/>
        <v>70.2444987775061</v>
      </c>
      <c r="O53" s="26" t="s">
        <v>179</v>
      </c>
    </row>
    <row r="54" spans="1:15">
      <c r="A54">
        <f t="shared" si="1"/>
        <v>1</v>
      </c>
      <c r="B54" s="27" t="s">
        <v>1306</v>
      </c>
      <c r="C54" t="s">
        <v>1305</v>
      </c>
      <c r="D54">
        <v>2023</v>
      </c>
      <c r="E54">
        <v>11</v>
      </c>
      <c r="F54">
        <v>22</v>
      </c>
      <c r="G54" s="26" t="s">
        <v>517</v>
      </c>
      <c r="H54" s="26" t="s">
        <v>4265</v>
      </c>
      <c r="I54" s="22">
        <v>437</v>
      </c>
      <c r="J54">
        <v>422</v>
      </c>
      <c r="K54">
        <v>15</v>
      </c>
      <c r="L54" s="28">
        <v>22.12</v>
      </c>
      <c r="M54" s="29">
        <v>0.409</v>
      </c>
      <c r="N54" s="30">
        <f t="shared" si="0"/>
        <v>54.0831295843521</v>
      </c>
      <c r="O54" s="26" t="s">
        <v>179</v>
      </c>
    </row>
    <row r="55" spans="1:15">
      <c r="A55">
        <f t="shared" si="1"/>
        <v>1</v>
      </c>
      <c r="B55" s="27" t="s">
        <v>1330</v>
      </c>
      <c r="C55" t="s">
        <v>1329</v>
      </c>
      <c r="D55">
        <v>2023</v>
      </c>
      <c r="E55">
        <v>11</v>
      </c>
      <c r="F55">
        <v>22</v>
      </c>
      <c r="G55" s="26" t="s">
        <v>1076</v>
      </c>
      <c r="H55" s="26" t="s">
        <v>4266</v>
      </c>
      <c r="I55" s="22">
        <v>367</v>
      </c>
      <c r="J55">
        <v>154</v>
      </c>
      <c r="K55">
        <v>15</v>
      </c>
      <c r="L55" s="28">
        <v>26.41</v>
      </c>
      <c r="M55" s="29">
        <v>0.409</v>
      </c>
      <c r="N55" s="30">
        <f t="shared" si="0"/>
        <v>64.5721271393643</v>
      </c>
      <c r="O55" s="26" t="s">
        <v>179</v>
      </c>
    </row>
    <row r="56" spans="1:15">
      <c r="A56">
        <f t="shared" si="1"/>
        <v>0</v>
      </c>
      <c r="B56" s="27"/>
      <c r="C56" t="s">
        <v>1329</v>
      </c>
      <c r="D56">
        <v>2023</v>
      </c>
      <c r="E56">
        <v>11</v>
      </c>
      <c r="F56">
        <v>22</v>
      </c>
      <c r="G56" s="26" t="s">
        <v>1076</v>
      </c>
      <c r="H56" s="26" t="s">
        <v>4267</v>
      </c>
      <c r="J56">
        <v>183</v>
      </c>
      <c r="K56">
        <v>15</v>
      </c>
      <c r="L56" s="28">
        <v>26.32</v>
      </c>
      <c r="M56" s="29">
        <v>0.409</v>
      </c>
      <c r="N56" s="30">
        <f t="shared" si="0"/>
        <v>64.3520782396088</v>
      </c>
      <c r="O56" s="26" t="s">
        <v>179</v>
      </c>
    </row>
    <row r="57" spans="1:15">
      <c r="A57">
        <f t="shared" si="1"/>
        <v>1</v>
      </c>
      <c r="B57" s="27" t="s">
        <v>1369</v>
      </c>
      <c r="C57" t="s">
        <v>1368</v>
      </c>
      <c r="D57">
        <v>2023</v>
      </c>
      <c r="E57">
        <v>11</v>
      </c>
      <c r="F57">
        <v>22</v>
      </c>
      <c r="G57" s="26" t="s">
        <v>1367</v>
      </c>
      <c r="H57" s="26" t="s">
        <v>1370</v>
      </c>
      <c r="I57" s="22">
        <v>339</v>
      </c>
      <c r="J57">
        <v>324</v>
      </c>
      <c r="K57">
        <v>15</v>
      </c>
      <c r="L57" s="28">
        <v>26.34</v>
      </c>
      <c r="M57" s="29">
        <v>0.409</v>
      </c>
      <c r="N57" s="30">
        <f t="shared" si="0"/>
        <v>64.40097799511</v>
      </c>
      <c r="O57" s="26" t="s">
        <v>179</v>
      </c>
    </row>
    <row r="58" spans="1:15">
      <c r="A58">
        <f t="shared" si="1"/>
        <v>1</v>
      </c>
      <c r="B58" s="27" t="s">
        <v>1403</v>
      </c>
      <c r="C58" t="s">
        <v>1402</v>
      </c>
      <c r="D58">
        <v>2023</v>
      </c>
      <c r="E58">
        <v>11</v>
      </c>
      <c r="F58">
        <v>25</v>
      </c>
      <c r="G58" s="26" t="s">
        <v>210</v>
      </c>
      <c r="H58" s="26" t="s">
        <v>4268</v>
      </c>
      <c r="I58" s="22">
        <v>543</v>
      </c>
      <c r="J58">
        <v>528</v>
      </c>
      <c r="K58">
        <v>15</v>
      </c>
      <c r="L58" s="28">
        <v>39.13</v>
      </c>
      <c r="M58" s="29">
        <v>0.409</v>
      </c>
      <c r="N58" s="30">
        <f t="shared" si="0"/>
        <v>95.6723716381418</v>
      </c>
      <c r="O58" s="26" t="s">
        <v>179</v>
      </c>
    </row>
    <row r="59" spans="1:15">
      <c r="A59">
        <f t="shared" si="1"/>
        <v>1</v>
      </c>
      <c r="B59" s="27" t="s">
        <v>1430</v>
      </c>
      <c r="C59" t="s">
        <v>1429</v>
      </c>
      <c r="D59">
        <v>2023</v>
      </c>
      <c r="E59">
        <v>11</v>
      </c>
      <c r="F59">
        <v>26</v>
      </c>
      <c r="G59" s="26" t="s">
        <v>1428</v>
      </c>
      <c r="H59" s="26" t="s">
        <v>4269</v>
      </c>
      <c r="I59" s="22">
        <v>377</v>
      </c>
      <c r="J59">
        <v>362</v>
      </c>
      <c r="K59">
        <v>15</v>
      </c>
      <c r="L59" s="28">
        <v>27.86</v>
      </c>
      <c r="M59" s="29">
        <v>0.409</v>
      </c>
      <c r="N59" s="30">
        <f t="shared" si="0"/>
        <v>68.1173594132029</v>
      </c>
      <c r="O59" s="26" t="s">
        <v>179</v>
      </c>
    </row>
    <row r="60" spans="1:15">
      <c r="A60">
        <f t="shared" si="1"/>
        <v>1</v>
      </c>
      <c r="B60" s="27" t="s">
        <v>1455</v>
      </c>
      <c r="C60" t="s">
        <v>1454</v>
      </c>
      <c r="D60">
        <v>2023</v>
      </c>
      <c r="E60">
        <v>11</v>
      </c>
      <c r="F60">
        <v>26</v>
      </c>
      <c r="G60" s="26" t="s">
        <v>765</v>
      </c>
      <c r="H60" s="26" t="s">
        <v>4270</v>
      </c>
      <c r="I60" s="22">
        <v>1367</v>
      </c>
      <c r="J60">
        <v>313</v>
      </c>
      <c r="K60">
        <v>15</v>
      </c>
      <c r="L60" s="28">
        <v>45.78</v>
      </c>
      <c r="M60" s="29">
        <v>0.401</v>
      </c>
      <c r="N60" s="30">
        <f t="shared" si="0"/>
        <v>114.164588528678</v>
      </c>
      <c r="O60" s="26" t="s">
        <v>179</v>
      </c>
    </row>
    <row r="61" spans="1:15">
      <c r="A61">
        <f t="shared" si="1"/>
        <v>0</v>
      </c>
      <c r="B61" s="27"/>
      <c r="C61" t="s">
        <v>1454</v>
      </c>
      <c r="D61">
        <v>2023</v>
      </c>
      <c r="E61">
        <v>11</v>
      </c>
      <c r="F61">
        <v>26</v>
      </c>
      <c r="G61" s="26" t="s">
        <v>245</v>
      </c>
      <c r="H61" s="26" t="s">
        <v>4271</v>
      </c>
      <c r="J61">
        <v>384</v>
      </c>
      <c r="K61">
        <v>15</v>
      </c>
      <c r="L61" s="28">
        <v>22.03</v>
      </c>
      <c r="M61" s="29">
        <v>0.401</v>
      </c>
      <c r="N61" s="30">
        <f t="shared" si="0"/>
        <v>54.9376558603491</v>
      </c>
      <c r="O61" s="26" t="s">
        <v>179</v>
      </c>
    </row>
    <row r="62" spans="1:15">
      <c r="A62">
        <f t="shared" si="1"/>
        <v>0</v>
      </c>
      <c r="B62" s="27"/>
      <c r="C62" t="s">
        <v>1454</v>
      </c>
      <c r="D62">
        <v>2023</v>
      </c>
      <c r="E62">
        <v>11</v>
      </c>
      <c r="F62">
        <v>26</v>
      </c>
      <c r="G62" s="26" t="s">
        <v>765</v>
      </c>
      <c r="H62" s="26" t="s">
        <v>4270</v>
      </c>
      <c r="J62">
        <v>295</v>
      </c>
      <c r="K62">
        <v>15</v>
      </c>
      <c r="L62" s="28">
        <v>28.86</v>
      </c>
      <c r="M62" s="29">
        <v>0.401</v>
      </c>
      <c r="N62" s="30">
        <f t="shared" si="0"/>
        <v>71.9700748129676</v>
      </c>
      <c r="O62" s="26" t="s">
        <v>179</v>
      </c>
    </row>
    <row r="63" spans="1:15">
      <c r="A63">
        <f t="shared" si="1"/>
        <v>0</v>
      </c>
      <c r="B63" s="27"/>
      <c r="C63" t="s">
        <v>1454</v>
      </c>
      <c r="D63">
        <v>2023</v>
      </c>
      <c r="E63">
        <v>11</v>
      </c>
      <c r="F63">
        <v>26</v>
      </c>
      <c r="G63" s="26" t="s">
        <v>245</v>
      </c>
      <c r="H63" s="26" t="s">
        <v>4272</v>
      </c>
      <c r="J63">
        <v>315</v>
      </c>
      <c r="K63">
        <v>15</v>
      </c>
      <c r="L63" s="28">
        <v>26.47</v>
      </c>
      <c r="M63" s="29">
        <v>0.401</v>
      </c>
      <c r="N63" s="30">
        <f t="shared" si="0"/>
        <v>66.0099750623441</v>
      </c>
      <c r="O63" s="26" t="s">
        <v>179</v>
      </c>
    </row>
    <row r="64" spans="1:15">
      <c r="A64">
        <f t="shared" si="1"/>
        <v>1</v>
      </c>
      <c r="B64" s="27" t="s">
        <v>1510</v>
      </c>
      <c r="C64" t="s">
        <v>1509</v>
      </c>
      <c r="D64">
        <v>2023</v>
      </c>
      <c r="E64">
        <v>11</v>
      </c>
      <c r="F64">
        <v>26</v>
      </c>
      <c r="G64" s="26" t="s">
        <v>245</v>
      </c>
      <c r="H64" s="26" t="s">
        <v>4273</v>
      </c>
      <c r="I64" s="22">
        <v>326</v>
      </c>
      <c r="J64">
        <v>311</v>
      </c>
      <c r="K64">
        <v>15</v>
      </c>
      <c r="L64" s="28">
        <v>9.68</v>
      </c>
      <c r="M64" s="29">
        <v>0.409</v>
      </c>
      <c r="N64" s="30">
        <f t="shared" si="0"/>
        <v>23.6674816625917</v>
      </c>
      <c r="O64" s="26" t="s">
        <v>179</v>
      </c>
    </row>
    <row r="65" spans="1:15">
      <c r="A65">
        <f t="shared" si="1"/>
        <v>1</v>
      </c>
      <c r="B65" s="27" t="s">
        <v>1534</v>
      </c>
      <c r="C65" t="s">
        <v>1533</v>
      </c>
      <c r="D65">
        <v>2023</v>
      </c>
      <c r="E65">
        <v>11</v>
      </c>
      <c r="F65">
        <v>27</v>
      </c>
      <c r="G65" s="26" t="s">
        <v>283</v>
      </c>
      <c r="H65" s="26" t="s">
        <v>4274</v>
      </c>
      <c r="I65" s="22">
        <v>462</v>
      </c>
      <c r="J65">
        <v>447</v>
      </c>
      <c r="K65">
        <v>15</v>
      </c>
      <c r="L65" s="28">
        <v>12.78</v>
      </c>
      <c r="M65" s="29">
        <v>0.401</v>
      </c>
      <c r="N65" s="30">
        <f t="shared" si="0"/>
        <v>31.8703241895262</v>
      </c>
      <c r="O65" s="26" t="s">
        <v>179</v>
      </c>
    </row>
    <row r="66" spans="1:15">
      <c r="A66">
        <f t="shared" si="1"/>
        <v>1</v>
      </c>
      <c r="B66" s="27" t="s">
        <v>1559</v>
      </c>
      <c r="C66" t="s">
        <v>1558</v>
      </c>
      <c r="D66">
        <v>2023</v>
      </c>
      <c r="E66">
        <v>11</v>
      </c>
      <c r="F66">
        <v>27</v>
      </c>
      <c r="G66" s="26" t="s">
        <v>1367</v>
      </c>
      <c r="H66" s="26" t="s">
        <v>1560</v>
      </c>
      <c r="I66" s="22">
        <v>526</v>
      </c>
      <c r="J66">
        <v>128</v>
      </c>
      <c r="K66">
        <v>15</v>
      </c>
      <c r="L66" s="28">
        <v>23.14</v>
      </c>
      <c r="M66" s="29">
        <v>0.40337</v>
      </c>
      <c r="N66" s="30">
        <f t="shared" si="0"/>
        <v>57.3666856732033</v>
      </c>
      <c r="O66" s="26" t="s">
        <v>179</v>
      </c>
    </row>
    <row r="67" spans="1:15">
      <c r="A67">
        <f t="shared" si="1"/>
        <v>0</v>
      </c>
      <c r="B67" s="27"/>
      <c r="C67" t="s">
        <v>1558</v>
      </c>
      <c r="D67">
        <v>2023</v>
      </c>
      <c r="E67">
        <v>11</v>
      </c>
      <c r="F67">
        <v>27</v>
      </c>
      <c r="G67" s="26" t="s">
        <v>1367</v>
      </c>
      <c r="H67" s="26" t="s">
        <v>1560</v>
      </c>
      <c r="J67">
        <v>128</v>
      </c>
      <c r="K67">
        <v>15</v>
      </c>
      <c r="L67" s="28">
        <v>23.14</v>
      </c>
      <c r="M67" s="29">
        <v>0.40337</v>
      </c>
      <c r="N67" s="30">
        <f t="shared" ref="N67:N130" si="2">L67/M67</f>
        <v>57.3666856732033</v>
      </c>
      <c r="O67" s="26" t="s">
        <v>179</v>
      </c>
    </row>
    <row r="68" spans="1:15">
      <c r="A68">
        <f t="shared" ref="A68:A131" si="3">COUNTA(B68)</f>
        <v>0</v>
      </c>
      <c r="B68" s="27"/>
      <c r="C68" t="s">
        <v>1558</v>
      </c>
      <c r="D68">
        <v>2023</v>
      </c>
      <c r="E68">
        <v>11</v>
      </c>
      <c r="F68">
        <v>27</v>
      </c>
      <c r="G68" s="26" t="s">
        <v>1367</v>
      </c>
      <c r="H68" s="26" t="s">
        <v>4275</v>
      </c>
      <c r="J68">
        <v>105</v>
      </c>
      <c r="K68">
        <v>15</v>
      </c>
      <c r="L68" s="28">
        <v>25.39</v>
      </c>
      <c r="M68" s="29">
        <v>0.40337</v>
      </c>
      <c r="N68" s="30">
        <f t="shared" si="2"/>
        <v>62.9446909785061</v>
      </c>
      <c r="O68" s="26" t="s">
        <v>179</v>
      </c>
    </row>
    <row r="69" spans="1:15">
      <c r="A69">
        <f t="shared" si="3"/>
        <v>0</v>
      </c>
      <c r="B69" s="27"/>
      <c r="C69" t="s">
        <v>1558</v>
      </c>
      <c r="D69">
        <v>2023</v>
      </c>
      <c r="E69">
        <v>11</v>
      </c>
      <c r="F69">
        <v>27</v>
      </c>
      <c r="G69" s="26" t="s">
        <v>1367</v>
      </c>
      <c r="H69" s="26" t="s">
        <v>4275</v>
      </c>
      <c r="J69">
        <v>105</v>
      </c>
      <c r="K69">
        <v>15</v>
      </c>
      <c r="L69" s="28">
        <v>25.39</v>
      </c>
      <c r="M69" s="29">
        <v>0.40337</v>
      </c>
      <c r="N69" s="30">
        <f t="shared" si="2"/>
        <v>62.9446909785061</v>
      </c>
      <c r="O69" s="26" t="s">
        <v>179</v>
      </c>
    </row>
    <row r="70" spans="1:15">
      <c r="A70">
        <f t="shared" si="3"/>
        <v>1</v>
      </c>
      <c r="B70" s="27" t="s">
        <v>1607</v>
      </c>
      <c r="C70" t="s">
        <v>1606</v>
      </c>
      <c r="D70">
        <v>2023</v>
      </c>
      <c r="E70">
        <v>11</v>
      </c>
      <c r="F70">
        <v>27</v>
      </c>
      <c r="G70" s="26" t="s">
        <v>549</v>
      </c>
      <c r="H70" s="26" t="s">
        <v>4276</v>
      </c>
      <c r="I70" s="22">
        <v>815</v>
      </c>
      <c r="J70">
        <v>800</v>
      </c>
      <c r="K70">
        <v>15</v>
      </c>
      <c r="L70" s="28">
        <v>24.23</v>
      </c>
      <c r="M70" s="29">
        <v>0.409</v>
      </c>
      <c r="N70" s="30">
        <f t="shared" si="2"/>
        <v>59.2420537897311</v>
      </c>
      <c r="O70" s="26" t="s">
        <v>179</v>
      </c>
    </row>
    <row r="71" spans="1:15">
      <c r="A71">
        <f t="shared" si="3"/>
        <v>1</v>
      </c>
      <c r="B71" s="27" t="s">
        <v>1632</v>
      </c>
      <c r="C71" t="s">
        <v>1631</v>
      </c>
      <c r="D71">
        <v>2023</v>
      </c>
      <c r="E71">
        <v>11</v>
      </c>
      <c r="F71">
        <v>28</v>
      </c>
      <c r="G71" s="26" t="s">
        <v>1252</v>
      </c>
      <c r="H71" s="26" t="s">
        <v>4277</v>
      </c>
      <c r="I71" s="22">
        <v>554</v>
      </c>
      <c r="J71">
        <v>254</v>
      </c>
      <c r="K71">
        <v>15</v>
      </c>
      <c r="L71" s="28">
        <v>23.38</v>
      </c>
      <c r="M71" s="29">
        <v>0.401</v>
      </c>
      <c r="N71" s="30">
        <f t="shared" si="2"/>
        <v>58.3042394014963</v>
      </c>
      <c r="O71" s="26" t="s">
        <v>179</v>
      </c>
    </row>
    <row r="72" spans="1:15">
      <c r="A72">
        <f t="shared" si="3"/>
        <v>0</v>
      </c>
      <c r="B72" s="27"/>
      <c r="C72" t="s">
        <v>1631</v>
      </c>
      <c r="D72">
        <v>2023</v>
      </c>
      <c r="E72">
        <v>11</v>
      </c>
      <c r="F72">
        <v>28</v>
      </c>
      <c r="G72" s="26" t="s">
        <v>1252</v>
      </c>
      <c r="H72" s="26" t="s">
        <v>4278</v>
      </c>
      <c r="J72">
        <v>270</v>
      </c>
      <c r="K72">
        <v>15</v>
      </c>
      <c r="L72" s="28">
        <v>31.58</v>
      </c>
      <c r="M72" s="29">
        <v>0.401</v>
      </c>
      <c r="N72" s="30">
        <f t="shared" si="2"/>
        <v>78.7531172069825</v>
      </c>
      <c r="O72" s="26" t="s">
        <v>179</v>
      </c>
    </row>
    <row r="73" spans="1:15">
      <c r="A73">
        <f t="shared" si="3"/>
        <v>1</v>
      </c>
      <c r="B73" s="27" t="s">
        <v>1664</v>
      </c>
      <c r="C73" t="s">
        <v>1663</v>
      </c>
      <c r="D73">
        <v>2023</v>
      </c>
      <c r="E73">
        <v>11</v>
      </c>
      <c r="F73">
        <v>28</v>
      </c>
      <c r="G73" s="26" t="s">
        <v>210</v>
      </c>
      <c r="H73" s="26" t="s">
        <v>4279</v>
      </c>
      <c r="I73" s="22">
        <v>713</v>
      </c>
      <c r="J73">
        <v>698</v>
      </c>
      <c r="K73">
        <v>15</v>
      </c>
      <c r="L73" s="28">
        <v>47.01</v>
      </c>
      <c r="M73" s="29">
        <v>0.409</v>
      </c>
      <c r="N73" s="30">
        <f t="shared" si="2"/>
        <v>114.938875305623</v>
      </c>
      <c r="O73" s="26" t="s">
        <v>179</v>
      </c>
    </row>
    <row r="74" spans="1:15">
      <c r="A74">
        <f t="shared" si="3"/>
        <v>1</v>
      </c>
      <c r="B74" s="27" t="s">
        <v>1689</v>
      </c>
      <c r="C74" t="s">
        <v>1688</v>
      </c>
      <c r="D74">
        <v>2023</v>
      </c>
      <c r="E74">
        <v>11</v>
      </c>
      <c r="F74">
        <v>29</v>
      </c>
      <c r="G74" s="26" t="s">
        <v>1367</v>
      </c>
      <c r="H74" s="26" t="s">
        <v>1690</v>
      </c>
      <c r="I74" s="22">
        <v>361</v>
      </c>
      <c r="J74">
        <v>346</v>
      </c>
      <c r="K74">
        <v>15</v>
      </c>
      <c r="L74" s="28">
        <v>29.03</v>
      </c>
      <c r="M74" s="29">
        <v>0.409</v>
      </c>
      <c r="N74" s="30">
        <f t="shared" si="2"/>
        <v>70.9779951100245</v>
      </c>
      <c r="O74" s="26" t="s">
        <v>179</v>
      </c>
    </row>
    <row r="75" spans="1:15">
      <c r="A75">
        <f t="shared" si="3"/>
        <v>1</v>
      </c>
      <c r="B75" s="27" t="s">
        <v>1713</v>
      </c>
      <c r="C75" t="s">
        <v>1712</v>
      </c>
      <c r="D75">
        <v>2023</v>
      </c>
      <c r="E75">
        <v>11</v>
      </c>
      <c r="F75">
        <v>29</v>
      </c>
      <c r="G75" s="26" t="s">
        <v>1109</v>
      </c>
      <c r="H75" s="26" t="s">
        <v>4258</v>
      </c>
      <c r="I75" s="22">
        <v>569</v>
      </c>
      <c r="J75">
        <v>554</v>
      </c>
      <c r="K75">
        <v>15</v>
      </c>
      <c r="L75" s="28">
        <v>39.43</v>
      </c>
      <c r="M75" s="29">
        <v>0.409</v>
      </c>
      <c r="N75" s="30">
        <f t="shared" si="2"/>
        <v>96.4058679706602</v>
      </c>
      <c r="O75" s="26" t="s">
        <v>179</v>
      </c>
    </row>
    <row r="76" spans="1:15">
      <c r="A76">
        <f t="shared" si="3"/>
        <v>1</v>
      </c>
      <c r="B76" s="27" t="s">
        <v>1735</v>
      </c>
      <c r="C76" t="s">
        <v>1734</v>
      </c>
      <c r="D76">
        <v>2023</v>
      </c>
      <c r="E76">
        <v>11</v>
      </c>
      <c r="F76">
        <v>30</v>
      </c>
      <c r="G76" s="26" t="s">
        <v>210</v>
      </c>
      <c r="H76" s="26" t="s">
        <v>4280</v>
      </c>
      <c r="I76" s="22">
        <v>747</v>
      </c>
      <c r="J76">
        <v>732</v>
      </c>
      <c r="K76">
        <v>15</v>
      </c>
      <c r="L76" s="28">
        <v>43.85</v>
      </c>
      <c r="M76" s="29">
        <v>0.409</v>
      </c>
      <c r="N76" s="30">
        <f t="shared" si="2"/>
        <v>107.21271393643</v>
      </c>
      <c r="O76" s="26" t="s">
        <v>179</v>
      </c>
    </row>
    <row r="77" spans="1:15">
      <c r="A77">
        <f t="shared" si="3"/>
        <v>1</v>
      </c>
      <c r="B77" s="27" t="s">
        <v>1759</v>
      </c>
      <c r="C77" t="s">
        <v>1758</v>
      </c>
      <c r="D77">
        <v>2023</v>
      </c>
      <c r="E77">
        <v>11</v>
      </c>
      <c r="F77">
        <v>30</v>
      </c>
      <c r="G77" s="26" t="s">
        <v>210</v>
      </c>
      <c r="H77" s="26" t="s">
        <v>4281</v>
      </c>
      <c r="I77" s="22">
        <v>1179</v>
      </c>
      <c r="J77">
        <v>384</v>
      </c>
      <c r="K77">
        <v>15</v>
      </c>
      <c r="L77" s="28">
        <v>26.38</v>
      </c>
      <c r="M77" s="29">
        <v>0.401</v>
      </c>
      <c r="N77" s="30">
        <f t="shared" si="2"/>
        <v>65.785536159601</v>
      </c>
      <c r="O77" s="26" t="s">
        <v>179</v>
      </c>
    </row>
    <row r="78" spans="1:15">
      <c r="A78">
        <f t="shared" si="3"/>
        <v>0</v>
      </c>
      <c r="B78" s="27"/>
      <c r="C78" t="s">
        <v>1758</v>
      </c>
      <c r="D78">
        <v>2023</v>
      </c>
      <c r="E78">
        <v>11</v>
      </c>
      <c r="F78">
        <v>30</v>
      </c>
      <c r="G78" s="26" t="s">
        <v>620</v>
      </c>
      <c r="H78" s="26" t="s">
        <v>4282</v>
      </c>
      <c r="J78">
        <v>765</v>
      </c>
      <c r="K78">
        <v>15</v>
      </c>
      <c r="L78" s="28">
        <v>58.45</v>
      </c>
      <c r="M78" s="29">
        <v>0.401</v>
      </c>
      <c r="N78" s="30">
        <f t="shared" si="2"/>
        <v>145.760598503741</v>
      </c>
      <c r="O78" s="26" t="s">
        <v>179</v>
      </c>
    </row>
    <row r="79" spans="1:15">
      <c r="A79">
        <f t="shared" si="3"/>
        <v>1</v>
      </c>
      <c r="B79" s="27" t="s">
        <v>1796</v>
      </c>
      <c r="C79" t="s">
        <v>1795</v>
      </c>
      <c r="D79">
        <v>2023</v>
      </c>
      <c r="E79">
        <v>12</v>
      </c>
      <c r="F79">
        <v>2</v>
      </c>
      <c r="G79" s="26" t="s">
        <v>707</v>
      </c>
      <c r="H79" s="26" t="s">
        <v>4283</v>
      </c>
      <c r="I79" s="22">
        <v>523</v>
      </c>
      <c r="J79">
        <v>508</v>
      </c>
      <c r="K79">
        <v>15</v>
      </c>
      <c r="L79" s="28">
        <v>32.48</v>
      </c>
      <c r="M79" s="29">
        <v>0.401</v>
      </c>
      <c r="N79" s="30">
        <f t="shared" si="2"/>
        <v>80.9975062344139</v>
      </c>
      <c r="O79" s="26" t="s">
        <v>179</v>
      </c>
    </row>
    <row r="80" spans="1:15">
      <c r="A80">
        <f t="shared" si="3"/>
        <v>1</v>
      </c>
      <c r="B80" s="27" t="s">
        <v>1820</v>
      </c>
      <c r="C80" t="s">
        <v>1819</v>
      </c>
      <c r="D80">
        <v>2023</v>
      </c>
      <c r="E80">
        <v>12</v>
      </c>
      <c r="F80">
        <v>2</v>
      </c>
      <c r="G80" s="26" t="s">
        <v>245</v>
      </c>
      <c r="H80" s="26" t="s">
        <v>4284</v>
      </c>
      <c r="I80" s="22">
        <v>411</v>
      </c>
      <c r="J80">
        <v>396</v>
      </c>
      <c r="K80">
        <v>15</v>
      </c>
      <c r="L80" s="28">
        <v>25.15</v>
      </c>
      <c r="M80" s="29">
        <v>0.401</v>
      </c>
      <c r="N80" s="30">
        <f t="shared" si="2"/>
        <v>62.718204488778</v>
      </c>
      <c r="O80" s="26" t="s">
        <v>179</v>
      </c>
    </row>
    <row r="81" spans="1:15">
      <c r="A81">
        <f t="shared" si="3"/>
        <v>1</v>
      </c>
      <c r="B81" s="27" t="s">
        <v>1843</v>
      </c>
      <c r="C81" t="s">
        <v>1842</v>
      </c>
      <c r="D81">
        <v>2023</v>
      </c>
      <c r="E81">
        <v>12</v>
      </c>
      <c r="F81">
        <v>4</v>
      </c>
      <c r="G81" s="26" t="s">
        <v>245</v>
      </c>
      <c r="H81" s="26" t="s">
        <v>4285</v>
      </c>
      <c r="I81" s="22">
        <v>295</v>
      </c>
      <c r="J81">
        <v>280</v>
      </c>
      <c r="K81">
        <v>15</v>
      </c>
      <c r="L81" s="28">
        <v>23.36</v>
      </c>
      <c r="M81" s="29">
        <v>0.401</v>
      </c>
      <c r="N81" s="30">
        <f t="shared" si="2"/>
        <v>58.2543640897756</v>
      </c>
      <c r="O81" s="26" t="s">
        <v>179</v>
      </c>
    </row>
    <row r="82" spans="1:15">
      <c r="A82">
        <f t="shared" si="3"/>
        <v>1</v>
      </c>
      <c r="B82" s="27" t="s">
        <v>1860</v>
      </c>
      <c r="C82" t="s">
        <v>1859</v>
      </c>
      <c r="D82">
        <v>2023</v>
      </c>
      <c r="E82">
        <v>12</v>
      </c>
      <c r="F82">
        <v>4</v>
      </c>
      <c r="G82" s="26" t="s">
        <v>210</v>
      </c>
      <c r="H82" s="26" t="s">
        <v>4286</v>
      </c>
      <c r="I82" s="22">
        <v>725</v>
      </c>
      <c r="J82">
        <v>710</v>
      </c>
      <c r="K82">
        <v>15</v>
      </c>
      <c r="L82" s="28">
        <v>40.6</v>
      </c>
      <c r="M82" s="29">
        <v>0.401</v>
      </c>
      <c r="N82" s="30">
        <f t="shared" si="2"/>
        <v>101.246882793017</v>
      </c>
      <c r="O82" s="26" t="s">
        <v>179</v>
      </c>
    </row>
    <row r="83" spans="1:15">
      <c r="A83">
        <f t="shared" si="3"/>
        <v>1</v>
      </c>
      <c r="B83" s="27" t="s">
        <v>1886</v>
      </c>
      <c r="C83" t="s">
        <v>1885</v>
      </c>
      <c r="D83">
        <v>2023</v>
      </c>
      <c r="E83">
        <v>12</v>
      </c>
      <c r="F83">
        <v>6</v>
      </c>
      <c r="G83" s="26" t="s">
        <v>1884</v>
      </c>
      <c r="H83" s="26" t="s">
        <v>4287</v>
      </c>
      <c r="I83" s="22">
        <v>170</v>
      </c>
      <c r="J83">
        <v>155</v>
      </c>
      <c r="K83">
        <v>15</v>
      </c>
      <c r="L83" s="28">
        <v>17.82</v>
      </c>
      <c r="M83" s="29">
        <v>0.401</v>
      </c>
      <c r="N83" s="30">
        <f t="shared" si="2"/>
        <v>44.4389027431421</v>
      </c>
      <c r="O83" s="26" t="s">
        <v>179</v>
      </c>
    </row>
    <row r="84" spans="1:15">
      <c r="A84">
        <f t="shared" si="3"/>
        <v>1</v>
      </c>
      <c r="B84" s="27" t="s">
        <v>1914</v>
      </c>
      <c r="C84" t="s">
        <v>1913</v>
      </c>
      <c r="D84">
        <v>2023</v>
      </c>
      <c r="E84">
        <v>12</v>
      </c>
      <c r="F84">
        <v>6</v>
      </c>
      <c r="G84" s="26" t="s">
        <v>620</v>
      </c>
      <c r="H84" s="26" t="s">
        <v>4288</v>
      </c>
      <c r="I84" s="22">
        <v>508</v>
      </c>
      <c r="J84">
        <v>493</v>
      </c>
      <c r="K84">
        <v>15</v>
      </c>
      <c r="L84" s="28">
        <v>46.72</v>
      </c>
      <c r="M84" s="29">
        <v>0.401</v>
      </c>
      <c r="N84" s="30">
        <f t="shared" si="2"/>
        <v>116.508728179551</v>
      </c>
      <c r="O84" s="26" t="s">
        <v>179</v>
      </c>
    </row>
    <row r="85" spans="1:15">
      <c r="A85">
        <f t="shared" si="3"/>
        <v>1</v>
      </c>
      <c r="B85" s="27" t="s">
        <v>1934</v>
      </c>
      <c r="C85" t="s">
        <v>1933</v>
      </c>
      <c r="D85">
        <v>2023</v>
      </c>
      <c r="E85">
        <v>12</v>
      </c>
      <c r="F85">
        <v>6</v>
      </c>
      <c r="G85" s="26" t="s">
        <v>366</v>
      </c>
      <c r="H85" s="26" t="s">
        <v>4289</v>
      </c>
      <c r="I85" s="22">
        <v>482</v>
      </c>
      <c r="J85">
        <v>467</v>
      </c>
      <c r="K85">
        <v>15</v>
      </c>
      <c r="L85" s="28">
        <v>32.1</v>
      </c>
      <c r="M85" s="29">
        <v>0.401</v>
      </c>
      <c r="N85" s="30">
        <f t="shared" si="2"/>
        <v>80.0498753117207</v>
      </c>
      <c r="O85" s="26" t="s">
        <v>179</v>
      </c>
    </row>
    <row r="86" spans="1:15">
      <c r="A86">
        <f t="shared" si="3"/>
        <v>1</v>
      </c>
      <c r="B86" s="27" t="s">
        <v>1959</v>
      </c>
      <c r="C86" t="s">
        <v>1958</v>
      </c>
      <c r="D86">
        <v>2023</v>
      </c>
      <c r="E86">
        <v>12</v>
      </c>
      <c r="F86">
        <v>8</v>
      </c>
      <c r="G86" s="26" t="s">
        <v>1957</v>
      </c>
      <c r="H86" s="26" t="s">
        <v>4290</v>
      </c>
      <c r="I86" s="22">
        <v>616</v>
      </c>
      <c r="J86">
        <v>601</v>
      </c>
      <c r="K86">
        <v>15</v>
      </c>
      <c r="L86" s="28">
        <v>49.47</v>
      </c>
      <c r="M86" s="29">
        <v>0.401</v>
      </c>
      <c r="N86" s="30">
        <f t="shared" si="2"/>
        <v>123.366583541147</v>
      </c>
      <c r="O86" s="26" t="s">
        <v>179</v>
      </c>
    </row>
    <row r="87" spans="1:15">
      <c r="A87">
        <f t="shared" si="3"/>
        <v>1</v>
      </c>
      <c r="B87" s="27" t="s">
        <v>1986</v>
      </c>
      <c r="C87" t="s">
        <v>1985</v>
      </c>
      <c r="D87">
        <v>2023</v>
      </c>
      <c r="E87">
        <v>12</v>
      </c>
      <c r="F87">
        <v>8</v>
      </c>
      <c r="G87" s="26" t="s">
        <v>1984</v>
      </c>
      <c r="H87" s="26" t="s">
        <v>4291</v>
      </c>
      <c r="I87" s="22">
        <v>324</v>
      </c>
      <c r="J87">
        <v>309</v>
      </c>
      <c r="K87">
        <v>15</v>
      </c>
      <c r="L87" s="28">
        <v>30.87</v>
      </c>
      <c r="M87" s="29">
        <v>0.40337</v>
      </c>
      <c r="N87" s="30">
        <f t="shared" si="2"/>
        <v>76.5302327887547</v>
      </c>
      <c r="O87" s="26" t="s">
        <v>179</v>
      </c>
    </row>
    <row r="88" spans="1:15">
      <c r="A88">
        <f t="shared" si="3"/>
        <v>1</v>
      </c>
      <c r="B88" s="27" t="s">
        <v>2013</v>
      </c>
      <c r="C88" t="s">
        <v>2012</v>
      </c>
      <c r="D88">
        <v>2023</v>
      </c>
      <c r="E88">
        <v>12</v>
      </c>
      <c r="F88">
        <v>8</v>
      </c>
      <c r="G88" s="26" t="s">
        <v>2011</v>
      </c>
      <c r="H88" s="26" t="s">
        <v>4292</v>
      </c>
      <c r="I88" s="22">
        <v>1108</v>
      </c>
      <c r="J88">
        <v>1093</v>
      </c>
      <c r="K88">
        <v>15</v>
      </c>
      <c r="L88" s="28">
        <v>44.23</v>
      </c>
      <c r="M88" s="29">
        <v>0.401</v>
      </c>
      <c r="N88" s="30">
        <f t="shared" si="2"/>
        <v>110.299251870324</v>
      </c>
      <c r="O88" s="26" t="s">
        <v>179</v>
      </c>
    </row>
    <row r="89" spans="1:15">
      <c r="A89">
        <f t="shared" si="3"/>
        <v>1</v>
      </c>
      <c r="B89" s="27" t="s">
        <v>2040</v>
      </c>
      <c r="C89" t="s">
        <v>2039</v>
      </c>
      <c r="D89">
        <v>2023</v>
      </c>
      <c r="E89">
        <v>12</v>
      </c>
      <c r="F89">
        <v>11</v>
      </c>
      <c r="G89" s="26" t="s">
        <v>2038</v>
      </c>
      <c r="H89" s="26" t="s">
        <v>4293</v>
      </c>
      <c r="I89" s="22">
        <v>537.96</v>
      </c>
      <c r="J89">
        <v>222.96</v>
      </c>
      <c r="K89">
        <v>15</v>
      </c>
      <c r="L89" s="28">
        <v>15.21</v>
      </c>
      <c r="M89" s="29">
        <v>0.40337</v>
      </c>
      <c r="N89" s="30">
        <f t="shared" si="2"/>
        <v>37.7073158638471</v>
      </c>
      <c r="O89" s="26" t="s">
        <v>179</v>
      </c>
    </row>
    <row r="90" spans="1:15">
      <c r="A90">
        <f t="shared" si="3"/>
        <v>0</v>
      </c>
      <c r="B90" s="27"/>
      <c r="C90" t="s">
        <v>2039</v>
      </c>
      <c r="D90">
        <v>2023</v>
      </c>
      <c r="E90">
        <v>12</v>
      </c>
      <c r="F90">
        <v>11</v>
      </c>
      <c r="G90" s="26" t="s">
        <v>1252</v>
      </c>
      <c r="H90" s="26" t="s">
        <v>4294</v>
      </c>
      <c r="J90">
        <v>285</v>
      </c>
      <c r="K90">
        <v>15</v>
      </c>
      <c r="L90" s="28">
        <v>25.61</v>
      </c>
      <c r="M90" s="29">
        <v>0.40337</v>
      </c>
      <c r="N90" s="30">
        <f t="shared" si="2"/>
        <v>63.4900959416913</v>
      </c>
      <c r="O90" s="26" t="s">
        <v>179</v>
      </c>
    </row>
    <row r="91" spans="1:15">
      <c r="A91">
        <f t="shared" si="3"/>
        <v>1</v>
      </c>
      <c r="B91" s="27" t="s">
        <v>2077</v>
      </c>
      <c r="C91" t="s">
        <v>2076</v>
      </c>
      <c r="D91">
        <v>2023</v>
      </c>
      <c r="E91">
        <v>12</v>
      </c>
      <c r="F91">
        <v>11</v>
      </c>
      <c r="G91" s="26" t="s">
        <v>2075</v>
      </c>
      <c r="H91" s="26" t="s">
        <v>4295</v>
      </c>
      <c r="I91" s="22">
        <v>682</v>
      </c>
      <c r="J91">
        <v>667</v>
      </c>
      <c r="K91">
        <v>15</v>
      </c>
      <c r="L91" s="28">
        <v>54.62</v>
      </c>
      <c r="M91" s="29">
        <v>0.40337</v>
      </c>
      <c r="N91" s="30">
        <f t="shared" si="2"/>
        <v>135.409177678062</v>
      </c>
      <c r="O91" s="26" t="s">
        <v>179</v>
      </c>
    </row>
    <row r="92" spans="1:15">
      <c r="A92">
        <f t="shared" si="3"/>
        <v>1</v>
      </c>
      <c r="B92" s="27" t="s">
        <v>2106</v>
      </c>
      <c r="C92" t="s">
        <v>2105</v>
      </c>
      <c r="D92">
        <v>2023</v>
      </c>
      <c r="E92">
        <v>12</v>
      </c>
      <c r="F92">
        <v>12</v>
      </c>
      <c r="G92" s="26" t="s">
        <v>283</v>
      </c>
      <c r="H92" s="26" t="s">
        <v>4296</v>
      </c>
      <c r="I92" s="22">
        <v>605</v>
      </c>
      <c r="J92">
        <v>590</v>
      </c>
      <c r="K92">
        <v>15</v>
      </c>
      <c r="L92" s="28">
        <v>37.11</v>
      </c>
      <c r="M92" s="29">
        <v>0.40337</v>
      </c>
      <c r="N92" s="30">
        <f t="shared" si="2"/>
        <v>91.9999008354612</v>
      </c>
      <c r="O92" s="26" t="s">
        <v>179</v>
      </c>
    </row>
    <row r="93" spans="1:15">
      <c r="A93">
        <f t="shared" si="3"/>
        <v>1</v>
      </c>
      <c r="B93" s="27" t="s">
        <v>2133</v>
      </c>
      <c r="C93" t="s">
        <v>2132</v>
      </c>
      <c r="D93">
        <v>2023</v>
      </c>
      <c r="E93">
        <v>12</v>
      </c>
      <c r="F93">
        <v>13</v>
      </c>
      <c r="G93" s="26" t="s">
        <v>707</v>
      </c>
      <c r="H93" s="26" t="s">
        <v>4297</v>
      </c>
      <c r="I93" s="22">
        <v>349</v>
      </c>
      <c r="J93">
        <v>334</v>
      </c>
      <c r="K93">
        <v>15</v>
      </c>
      <c r="L93" s="28">
        <v>21.78</v>
      </c>
      <c r="M93" s="29">
        <v>0.40337</v>
      </c>
      <c r="N93" s="30">
        <f t="shared" si="2"/>
        <v>53.9950913553313</v>
      </c>
      <c r="O93" s="26" t="s">
        <v>179</v>
      </c>
    </row>
    <row r="94" spans="1:15">
      <c r="A94">
        <f t="shared" si="3"/>
        <v>1</v>
      </c>
      <c r="B94" s="27" t="s">
        <v>2159</v>
      </c>
      <c r="C94" t="s">
        <v>2158</v>
      </c>
      <c r="D94">
        <v>2023</v>
      </c>
      <c r="E94">
        <v>12</v>
      </c>
      <c r="F94">
        <v>13</v>
      </c>
      <c r="G94" s="26" t="s">
        <v>425</v>
      </c>
      <c r="H94" s="26" t="s">
        <v>4233</v>
      </c>
      <c r="I94" s="22">
        <v>1062</v>
      </c>
      <c r="J94">
        <v>576</v>
      </c>
      <c r="K94">
        <v>15</v>
      </c>
      <c r="L94" s="28">
        <v>49.58</v>
      </c>
      <c r="M94" s="29">
        <v>0.40337</v>
      </c>
      <c r="N94" s="30">
        <f t="shared" si="2"/>
        <v>122.914445794184</v>
      </c>
      <c r="O94" s="26" t="s">
        <v>179</v>
      </c>
    </row>
    <row r="95" spans="1:15">
      <c r="A95">
        <f t="shared" si="3"/>
        <v>0</v>
      </c>
      <c r="B95" s="27"/>
      <c r="C95" t="s">
        <v>2158</v>
      </c>
      <c r="D95">
        <v>2023</v>
      </c>
      <c r="E95">
        <v>12</v>
      </c>
      <c r="F95">
        <v>13</v>
      </c>
      <c r="G95" s="26" t="s">
        <v>283</v>
      </c>
      <c r="H95" s="26" t="s">
        <v>4298</v>
      </c>
      <c r="J95">
        <v>456</v>
      </c>
      <c r="K95">
        <v>15</v>
      </c>
      <c r="L95" s="28">
        <v>4.88</v>
      </c>
      <c r="M95" s="29">
        <v>0.40337</v>
      </c>
      <c r="N95" s="30">
        <f t="shared" si="2"/>
        <v>12.0980737288346</v>
      </c>
      <c r="O95" s="26" t="s">
        <v>179</v>
      </c>
    </row>
    <row r="96" spans="1:15">
      <c r="A96">
        <f t="shared" si="3"/>
        <v>1</v>
      </c>
      <c r="B96" s="27" t="s">
        <v>2188</v>
      </c>
      <c r="C96" t="s">
        <v>2187</v>
      </c>
      <c r="D96">
        <v>2023</v>
      </c>
      <c r="E96">
        <v>12</v>
      </c>
      <c r="F96">
        <v>13</v>
      </c>
      <c r="G96" s="26" t="s">
        <v>2186</v>
      </c>
      <c r="H96" s="26" t="s">
        <v>4299</v>
      </c>
      <c r="I96" s="22">
        <v>247</v>
      </c>
      <c r="J96">
        <v>232</v>
      </c>
      <c r="K96">
        <v>15</v>
      </c>
      <c r="L96" s="28">
        <v>21.62</v>
      </c>
      <c r="M96" s="29">
        <v>0.40337</v>
      </c>
      <c r="N96" s="30">
        <f t="shared" si="2"/>
        <v>53.5984332002876</v>
      </c>
      <c r="O96" s="26" t="s">
        <v>179</v>
      </c>
    </row>
    <row r="97" spans="1:15">
      <c r="A97">
        <f t="shared" si="3"/>
        <v>1</v>
      </c>
      <c r="B97" s="27" t="s">
        <v>2215</v>
      </c>
      <c r="C97" t="s">
        <v>2214</v>
      </c>
      <c r="D97">
        <v>2023</v>
      </c>
      <c r="E97">
        <v>12</v>
      </c>
      <c r="F97">
        <v>13</v>
      </c>
      <c r="G97" s="26" t="s">
        <v>1076</v>
      </c>
      <c r="H97" s="26" t="s">
        <v>4300</v>
      </c>
      <c r="I97" s="22">
        <v>200</v>
      </c>
      <c r="J97">
        <v>185</v>
      </c>
      <c r="K97">
        <v>15</v>
      </c>
      <c r="L97" s="28">
        <v>8.28</v>
      </c>
      <c r="M97" s="29">
        <v>0.40337</v>
      </c>
      <c r="N97" s="30">
        <f t="shared" si="2"/>
        <v>20.5270595235144</v>
      </c>
      <c r="O97" s="26" t="s">
        <v>179</v>
      </c>
    </row>
    <row r="98" spans="1:15">
      <c r="A98">
        <f t="shared" si="3"/>
        <v>1</v>
      </c>
      <c r="B98" s="27" t="s">
        <v>2238</v>
      </c>
      <c r="C98" t="s">
        <v>2237</v>
      </c>
      <c r="D98">
        <v>2023</v>
      </c>
      <c r="E98">
        <v>12</v>
      </c>
      <c r="F98">
        <v>13</v>
      </c>
      <c r="G98" s="26" t="s">
        <v>765</v>
      </c>
      <c r="H98" s="26" t="s">
        <v>4301</v>
      </c>
      <c r="I98" s="22">
        <v>330</v>
      </c>
      <c r="J98">
        <v>315</v>
      </c>
      <c r="K98">
        <v>15</v>
      </c>
      <c r="L98" s="28">
        <v>19.44</v>
      </c>
      <c r="M98" s="29">
        <v>0.40337</v>
      </c>
      <c r="N98" s="30">
        <f t="shared" si="2"/>
        <v>48.1939658378164</v>
      </c>
      <c r="O98" s="26" t="s">
        <v>179</v>
      </c>
    </row>
    <row r="99" spans="1:15">
      <c r="A99">
        <f t="shared" si="3"/>
        <v>1</v>
      </c>
      <c r="B99" s="27" t="s">
        <v>2259</v>
      </c>
      <c r="C99" t="s">
        <v>2258</v>
      </c>
      <c r="D99">
        <v>2023</v>
      </c>
      <c r="E99">
        <v>12</v>
      </c>
      <c r="F99">
        <v>14</v>
      </c>
      <c r="G99" s="26" t="s">
        <v>1957</v>
      </c>
      <c r="H99" s="26" t="s">
        <v>4290</v>
      </c>
      <c r="I99" s="22">
        <v>537</v>
      </c>
      <c r="J99">
        <v>522</v>
      </c>
      <c r="K99">
        <v>15</v>
      </c>
      <c r="L99" s="28">
        <v>33.41</v>
      </c>
      <c r="M99" s="29">
        <v>0.40337</v>
      </c>
      <c r="N99" s="30">
        <f t="shared" si="2"/>
        <v>82.8271810000744</v>
      </c>
      <c r="O99" s="26" t="s">
        <v>179</v>
      </c>
    </row>
    <row r="100" spans="1:15">
      <c r="A100">
        <f t="shared" si="3"/>
        <v>1</v>
      </c>
      <c r="B100" s="27" t="s">
        <v>2280</v>
      </c>
      <c r="C100" t="s">
        <v>2279</v>
      </c>
      <c r="D100">
        <v>2023</v>
      </c>
      <c r="E100">
        <v>12</v>
      </c>
      <c r="F100">
        <v>14</v>
      </c>
      <c r="G100" s="26" t="s">
        <v>517</v>
      </c>
      <c r="H100" s="26" t="s">
        <v>4302</v>
      </c>
      <c r="I100" s="22">
        <v>327</v>
      </c>
      <c r="J100">
        <v>312</v>
      </c>
      <c r="K100">
        <v>15</v>
      </c>
      <c r="L100" s="28">
        <v>12.48</v>
      </c>
      <c r="M100" s="29">
        <v>0.40337</v>
      </c>
      <c r="N100" s="30">
        <f t="shared" si="2"/>
        <v>30.939336093413</v>
      </c>
      <c r="O100" s="26" t="s">
        <v>179</v>
      </c>
    </row>
    <row r="101" spans="1:15">
      <c r="A101">
        <f t="shared" si="3"/>
        <v>1</v>
      </c>
      <c r="B101" s="27" t="s">
        <v>2301</v>
      </c>
      <c r="C101" t="s">
        <v>2300</v>
      </c>
      <c r="D101">
        <v>2023</v>
      </c>
      <c r="E101">
        <v>12</v>
      </c>
      <c r="F101">
        <v>15</v>
      </c>
      <c r="G101" s="26" t="s">
        <v>335</v>
      </c>
      <c r="H101" s="26" t="s">
        <v>4303</v>
      </c>
      <c r="I101" s="22">
        <v>435</v>
      </c>
      <c r="J101">
        <v>420</v>
      </c>
      <c r="K101">
        <v>15</v>
      </c>
      <c r="L101" s="28">
        <v>29.95</v>
      </c>
      <c r="M101" s="29">
        <v>0.40337</v>
      </c>
      <c r="N101" s="30">
        <f t="shared" si="2"/>
        <v>74.2494483972531</v>
      </c>
      <c r="O101" s="26" t="s">
        <v>179</v>
      </c>
    </row>
    <row r="102" spans="1:15">
      <c r="A102">
        <f t="shared" si="3"/>
        <v>1</v>
      </c>
      <c r="B102" s="27" t="s">
        <v>2325</v>
      </c>
      <c r="C102" t="s">
        <v>2324</v>
      </c>
      <c r="D102">
        <v>2023</v>
      </c>
      <c r="E102">
        <v>12</v>
      </c>
      <c r="F102">
        <v>15</v>
      </c>
      <c r="G102" s="26" t="s">
        <v>1109</v>
      </c>
      <c r="H102" s="26" t="s">
        <v>4304</v>
      </c>
      <c r="I102" s="22">
        <v>546</v>
      </c>
      <c r="J102">
        <v>531</v>
      </c>
      <c r="K102">
        <v>15</v>
      </c>
      <c r="L102" s="28">
        <v>38.67</v>
      </c>
      <c r="M102" s="29">
        <v>0.410812</v>
      </c>
      <c r="N102" s="30">
        <f t="shared" si="2"/>
        <v>94.1306485691752</v>
      </c>
      <c r="O102" s="26" t="s">
        <v>2335</v>
      </c>
    </row>
    <row r="103" spans="1:15">
      <c r="A103">
        <f t="shared" si="3"/>
        <v>1</v>
      </c>
      <c r="B103" s="27" t="s">
        <v>2346</v>
      </c>
      <c r="C103" t="s">
        <v>2345</v>
      </c>
      <c r="D103">
        <v>2023</v>
      </c>
      <c r="E103">
        <v>12</v>
      </c>
      <c r="F103">
        <v>15</v>
      </c>
      <c r="G103" s="26" t="s">
        <v>2344</v>
      </c>
      <c r="H103" s="26" t="s">
        <v>4305</v>
      </c>
      <c r="I103" s="22">
        <v>340</v>
      </c>
      <c r="J103">
        <v>325</v>
      </c>
      <c r="K103">
        <v>15</v>
      </c>
      <c r="L103" s="28">
        <v>33.41</v>
      </c>
      <c r="M103" s="29">
        <v>0.40337</v>
      </c>
      <c r="N103" s="30">
        <f t="shared" si="2"/>
        <v>82.8271810000744</v>
      </c>
      <c r="O103" s="26" t="s">
        <v>179</v>
      </c>
    </row>
    <row r="104" spans="1:15">
      <c r="A104">
        <f t="shared" si="3"/>
        <v>1</v>
      </c>
      <c r="B104" s="27" t="s">
        <v>2369</v>
      </c>
      <c r="C104" t="s">
        <v>2368</v>
      </c>
      <c r="D104">
        <v>2023</v>
      </c>
      <c r="E104">
        <v>12</v>
      </c>
      <c r="F104">
        <v>15</v>
      </c>
      <c r="G104" s="26" t="s">
        <v>210</v>
      </c>
      <c r="H104" s="26" t="s">
        <v>4261</v>
      </c>
      <c r="I104" s="22">
        <v>361</v>
      </c>
      <c r="J104">
        <v>346</v>
      </c>
      <c r="K104">
        <v>15</v>
      </c>
      <c r="L104" s="28">
        <v>22.15</v>
      </c>
      <c r="M104" s="29">
        <v>0.40337</v>
      </c>
      <c r="N104" s="30">
        <f t="shared" si="2"/>
        <v>54.91236333887</v>
      </c>
      <c r="O104" s="26" t="s">
        <v>179</v>
      </c>
    </row>
    <row r="105" spans="1:15">
      <c r="A105">
        <f t="shared" si="3"/>
        <v>1</v>
      </c>
      <c r="B105" s="27" t="s">
        <v>2384</v>
      </c>
      <c r="C105" t="s">
        <v>2383</v>
      </c>
      <c r="D105">
        <v>2023</v>
      </c>
      <c r="E105">
        <v>12</v>
      </c>
      <c r="F105">
        <v>16</v>
      </c>
      <c r="G105" s="26" t="s">
        <v>1132</v>
      </c>
      <c r="H105" s="26" t="s">
        <v>4259</v>
      </c>
      <c r="I105" s="22">
        <v>392</v>
      </c>
      <c r="J105">
        <v>377</v>
      </c>
      <c r="K105">
        <v>15</v>
      </c>
      <c r="L105" s="28">
        <v>28.27</v>
      </c>
      <c r="M105" s="29">
        <v>0.40337</v>
      </c>
      <c r="N105" s="30">
        <f t="shared" si="2"/>
        <v>70.0845377692937</v>
      </c>
      <c r="O105" s="26" t="s">
        <v>179</v>
      </c>
    </row>
    <row r="106" spans="1:15">
      <c r="A106">
        <f t="shared" si="3"/>
        <v>1</v>
      </c>
      <c r="B106" s="27" t="s">
        <v>2404</v>
      </c>
      <c r="C106" t="s">
        <v>2403</v>
      </c>
      <c r="D106">
        <v>2023</v>
      </c>
      <c r="E106">
        <v>12</v>
      </c>
      <c r="F106">
        <v>16</v>
      </c>
      <c r="G106" s="26" t="s">
        <v>2402</v>
      </c>
      <c r="H106" s="26" t="s">
        <v>4306</v>
      </c>
      <c r="I106" s="22">
        <v>441</v>
      </c>
      <c r="J106">
        <v>426</v>
      </c>
      <c r="K106">
        <v>15</v>
      </c>
      <c r="L106" s="28">
        <v>24.66</v>
      </c>
      <c r="M106" s="29">
        <v>0.40337</v>
      </c>
      <c r="N106" s="30">
        <f t="shared" si="2"/>
        <v>61.1349381461189</v>
      </c>
      <c r="O106" s="26" t="s">
        <v>179</v>
      </c>
    </row>
    <row r="107" spans="1:15">
      <c r="A107">
        <f t="shared" si="3"/>
        <v>1</v>
      </c>
      <c r="B107" s="27" t="s">
        <v>2428</v>
      </c>
      <c r="C107" t="s">
        <v>2427</v>
      </c>
      <c r="D107">
        <v>2023</v>
      </c>
      <c r="E107">
        <v>12</v>
      </c>
      <c r="F107">
        <v>16</v>
      </c>
      <c r="G107" s="26" t="s">
        <v>2426</v>
      </c>
      <c r="H107" s="26" t="s">
        <v>4307</v>
      </c>
      <c r="I107" s="22">
        <v>370</v>
      </c>
      <c r="J107">
        <v>168</v>
      </c>
      <c r="K107">
        <v>15</v>
      </c>
      <c r="L107" s="28">
        <v>21.69</v>
      </c>
      <c r="M107" s="29">
        <v>0.40337</v>
      </c>
      <c r="N107" s="30">
        <f t="shared" si="2"/>
        <v>53.7719711431192</v>
      </c>
      <c r="O107" s="26" t="s">
        <v>179</v>
      </c>
    </row>
    <row r="108" spans="1:15">
      <c r="A108">
        <f t="shared" si="3"/>
        <v>0</v>
      </c>
      <c r="B108" s="27"/>
      <c r="C108" t="s">
        <v>2427</v>
      </c>
      <c r="D108">
        <v>2023</v>
      </c>
      <c r="E108">
        <v>12</v>
      </c>
      <c r="F108">
        <v>16</v>
      </c>
      <c r="G108" s="26" t="s">
        <v>2426</v>
      </c>
      <c r="H108" s="26" t="s">
        <v>4307</v>
      </c>
      <c r="J108">
        <v>172</v>
      </c>
      <c r="K108">
        <v>15</v>
      </c>
      <c r="L108" s="28">
        <v>20.48</v>
      </c>
      <c r="M108" s="29">
        <v>0.40337</v>
      </c>
      <c r="N108" s="30">
        <f t="shared" si="2"/>
        <v>50.7722438456008</v>
      </c>
      <c r="O108" s="26" t="s">
        <v>179</v>
      </c>
    </row>
    <row r="109" spans="1:15">
      <c r="A109">
        <f t="shared" si="3"/>
        <v>1</v>
      </c>
      <c r="B109" s="27" t="s">
        <v>2461</v>
      </c>
      <c r="C109" t="s">
        <v>2460</v>
      </c>
      <c r="D109">
        <v>2023</v>
      </c>
      <c r="E109">
        <v>12</v>
      </c>
      <c r="F109">
        <v>17</v>
      </c>
      <c r="G109" s="26" t="s">
        <v>1132</v>
      </c>
      <c r="H109" s="26" t="s">
        <v>4259</v>
      </c>
      <c r="I109" s="22">
        <v>378</v>
      </c>
      <c r="J109">
        <v>363</v>
      </c>
      <c r="K109">
        <v>15</v>
      </c>
      <c r="L109" s="28">
        <v>24.39</v>
      </c>
      <c r="M109" s="29">
        <v>0.40337</v>
      </c>
      <c r="N109" s="30">
        <f t="shared" si="2"/>
        <v>60.4655775094826</v>
      </c>
      <c r="O109" s="26" t="s">
        <v>179</v>
      </c>
    </row>
    <row r="110" spans="1:15">
      <c r="A110">
        <f t="shared" si="3"/>
        <v>1</v>
      </c>
      <c r="B110" s="27" t="s">
        <v>2483</v>
      </c>
      <c r="C110" t="s">
        <v>2482</v>
      </c>
      <c r="D110">
        <v>2023</v>
      </c>
      <c r="E110">
        <v>12</v>
      </c>
      <c r="F110">
        <v>17</v>
      </c>
      <c r="G110" s="26" t="s">
        <v>549</v>
      </c>
      <c r="H110" s="26" t="s">
        <v>4276</v>
      </c>
      <c r="I110" s="22">
        <v>841</v>
      </c>
      <c r="J110">
        <v>826</v>
      </c>
      <c r="K110">
        <v>15</v>
      </c>
      <c r="L110" s="28">
        <v>37</v>
      </c>
      <c r="M110" s="29">
        <v>0.40337</v>
      </c>
      <c r="N110" s="30">
        <f t="shared" si="2"/>
        <v>91.7271983538687</v>
      </c>
      <c r="O110" s="26" t="s">
        <v>179</v>
      </c>
    </row>
    <row r="111" spans="1:15">
      <c r="A111">
        <f t="shared" si="3"/>
        <v>1</v>
      </c>
      <c r="B111" s="27" t="s">
        <v>2504</v>
      </c>
      <c r="C111" t="s">
        <v>2503</v>
      </c>
      <c r="D111">
        <v>2023</v>
      </c>
      <c r="E111">
        <v>12</v>
      </c>
      <c r="F111">
        <v>17</v>
      </c>
      <c r="G111" s="26" t="s">
        <v>2502</v>
      </c>
      <c r="H111" s="26" t="s">
        <v>4308</v>
      </c>
      <c r="I111" s="22">
        <v>868</v>
      </c>
      <c r="J111">
        <v>853</v>
      </c>
      <c r="K111">
        <v>15</v>
      </c>
      <c r="L111" s="28">
        <v>114.64</v>
      </c>
      <c r="M111" s="29">
        <v>0.40337</v>
      </c>
      <c r="N111" s="30">
        <f t="shared" si="2"/>
        <v>284.205568088851</v>
      </c>
      <c r="O111" s="26" t="s">
        <v>179</v>
      </c>
    </row>
    <row r="112" spans="1:15">
      <c r="A112">
        <f t="shared" si="3"/>
        <v>1</v>
      </c>
      <c r="B112" s="27" t="s">
        <v>2527</v>
      </c>
      <c r="C112" t="s">
        <v>2526</v>
      </c>
      <c r="D112">
        <v>2023</v>
      </c>
      <c r="E112">
        <v>12</v>
      </c>
      <c r="F112">
        <v>18</v>
      </c>
      <c r="G112" s="26" t="s">
        <v>707</v>
      </c>
      <c r="H112" s="26" t="s">
        <v>4309</v>
      </c>
      <c r="I112" s="22">
        <v>489</v>
      </c>
      <c r="J112">
        <v>474</v>
      </c>
      <c r="K112">
        <v>15</v>
      </c>
      <c r="L112" s="28">
        <v>39</v>
      </c>
      <c r="M112" s="29">
        <v>0.40337</v>
      </c>
      <c r="N112" s="30">
        <f t="shared" si="2"/>
        <v>96.6854252919156</v>
      </c>
      <c r="O112" s="26" t="s">
        <v>179</v>
      </c>
    </row>
    <row r="113" spans="1:15">
      <c r="A113">
        <f t="shared" si="3"/>
        <v>1</v>
      </c>
      <c r="B113" s="27" t="s">
        <v>2549</v>
      </c>
      <c r="C113" t="s">
        <v>2548</v>
      </c>
      <c r="D113">
        <v>2023</v>
      </c>
      <c r="E113">
        <v>12</v>
      </c>
      <c r="F113">
        <v>18</v>
      </c>
      <c r="G113" s="26" t="s">
        <v>1367</v>
      </c>
      <c r="H113" s="26" t="s">
        <v>4310</v>
      </c>
      <c r="I113" s="22">
        <v>115</v>
      </c>
      <c r="J113">
        <v>100</v>
      </c>
      <c r="K113">
        <v>15</v>
      </c>
      <c r="L113" s="28">
        <v>8.39</v>
      </c>
      <c r="M113" s="29">
        <v>0.40337</v>
      </c>
      <c r="N113" s="30">
        <f t="shared" si="2"/>
        <v>20.799762005107</v>
      </c>
      <c r="O113" s="26" t="s">
        <v>179</v>
      </c>
    </row>
    <row r="114" spans="1:15">
      <c r="A114">
        <f t="shared" si="3"/>
        <v>1</v>
      </c>
      <c r="B114" s="27" t="s">
        <v>2571</v>
      </c>
      <c r="C114" t="s">
        <v>2570</v>
      </c>
      <c r="D114">
        <v>2023</v>
      </c>
      <c r="E114">
        <v>12</v>
      </c>
      <c r="F114">
        <v>17</v>
      </c>
      <c r="G114" s="26" t="s">
        <v>366</v>
      </c>
      <c r="H114" s="26" t="s">
        <v>4311</v>
      </c>
      <c r="I114" s="22">
        <v>683</v>
      </c>
      <c r="J114">
        <v>668</v>
      </c>
      <c r="K114">
        <v>15</v>
      </c>
      <c r="L114" s="28">
        <v>40.69</v>
      </c>
      <c r="M114" s="29">
        <v>0.40337</v>
      </c>
      <c r="N114" s="30">
        <f t="shared" si="2"/>
        <v>100.875127054565</v>
      </c>
      <c r="O114" s="26" t="s">
        <v>179</v>
      </c>
    </row>
    <row r="115" spans="1:15">
      <c r="A115">
        <f t="shared" si="3"/>
        <v>1</v>
      </c>
      <c r="B115" s="27" t="s">
        <v>2593</v>
      </c>
      <c r="C115" t="s">
        <v>2592</v>
      </c>
      <c r="D115">
        <v>2023</v>
      </c>
      <c r="E115">
        <v>12</v>
      </c>
      <c r="F115">
        <v>18</v>
      </c>
      <c r="G115" s="26" t="s">
        <v>245</v>
      </c>
      <c r="H115" s="26" t="s">
        <v>4312</v>
      </c>
      <c r="I115" s="22">
        <v>1090</v>
      </c>
      <c r="J115">
        <v>330</v>
      </c>
      <c r="K115">
        <v>15</v>
      </c>
      <c r="L115" s="28">
        <v>25.12</v>
      </c>
      <c r="M115" s="29">
        <v>0.40337</v>
      </c>
      <c r="N115" s="30">
        <f t="shared" si="2"/>
        <v>62.2753303418697</v>
      </c>
      <c r="O115" s="26" t="s">
        <v>179</v>
      </c>
    </row>
    <row r="116" spans="1:15">
      <c r="A116">
        <f t="shared" si="3"/>
        <v>0</v>
      </c>
      <c r="B116" s="27"/>
      <c r="C116" t="s">
        <v>2592</v>
      </c>
      <c r="D116">
        <v>2023</v>
      </c>
      <c r="E116">
        <v>12</v>
      </c>
      <c r="F116">
        <v>18</v>
      </c>
      <c r="G116" s="26" t="s">
        <v>245</v>
      </c>
      <c r="H116" s="26" t="s">
        <v>4271</v>
      </c>
      <c r="J116">
        <v>408</v>
      </c>
      <c r="K116">
        <v>15</v>
      </c>
      <c r="L116" s="28">
        <v>29.04</v>
      </c>
      <c r="M116" s="29">
        <v>0.40337</v>
      </c>
      <c r="N116" s="30">
        <f t="shared" si="2"/>
        <v>71.9934551404418</v>
      </c>
      <c r="O116" s="26" t="s">
        <v>179</v>
      </c>
    </row>
    <row r="117" spans="1:15">
      <c r="A117">
        <f t="shared" si="3"/>
        <v>0</v>
      </c>
      <c r="B117" s="27"/>
      <c r="C117" t="s">
        <v>2592</v>
      </c>
      <c r="D117">
        <v>2023</v>
      </c>
      <c r="E117">
        <v>12</v>
      </c>
      <c r="F117">
        <v>18</v>
      </c>
      <c r="G117" s="26" t="s">
        <v>245</v>
      </c>
      <c r="H117" s="26" t="s">
        <v>4313</v>
      </c>
      <c r="J117">
        <v>307</v>
      </c>
      <c r="K117">
        <v>15</v>
      </c>
      <c r="L117" s="28">
        <v>31.57</v>
      </c>
      <c r="M117" s="29">
        <v>0.40337</v>
      </c>
      <c r="N117" s="30">
        <f t="shared" si="2"/>
        <v>78.2656122170712</v>
      </c>
      <c r="O117" s="26" t="s">
        <v>179</v>
      </c>
    </row>
    <row r="118" spans="1:15">
      <c r="A118">
        <f t="shared" si="3"/>
        <v>1</v>
      </c>
      <c r="B118" s="27" t="s">
        <v>2633</v>
      </c>
      <c r="C118" t="s">
        <v>2632</v>
      </c>
      <c r="D118">
        <v>2023</v>
      </c>
      <c r="E118">
        <v>12</v>
      </c>
      <c r="F118">
        <v>18</v>
      </c>
      <c r="G118" s="26" t="s">
        <v>1884</v>
      </c>
      <c r="H118" s="26" t="s">
        <v>4314</v>
      </c>
      <c r="I118" s="22">
        <v>206</v>
      </c>
      <c r="J118">
        <v>191</v>
      </c>
      <c r="K118">
        <v>15</v>
      </c>
      <c r="L118" s="28">
        <v>21.85</v>
      </c>
      <c r="M118" s="29">
        <v>0.40337</v>
      </c>
      <c r="N118" s="30">
        <f t="shared" si="2"/>
        <v>54.168629298163</v>
      </c>
      <c r="O118" s="26" t="s">
        <v>179</v>
      </c>
    </row>
    <row r="119" spans="1:15">
      <c r="A119">
        <f t="shared" si="3"/>
        <v>1</v>
      </c>
      <c r="B119" s="27" t="s">
        <v>2655</v>
      </c>
      <c r="C119" t="s">
        <v>2654</v>
      </c>
      <c r="D119">
        <v>2023</v>
      </c>
      <c r="E119">
        <v>12</v>
      </c>
      <c r="F119">
        <v>17</v>
      </c>
      <c r="G119" s="26" t="s">
        <v>1076</v>
      </c>
      <c r="H119" s="26" t="s">
        <v>4315</v>
      </c>
      <c r="I119" s="22">
        <v>425</v>
      </c>
      <c r="J119">
        <v>210</v>
      </c>
      <c r="K119">
        <v>15</v>
      </c>
      <c r="L119" s="28">
        <v>31.42</v>
      </c>
      <c r="M119" s="29">
        <v>0.40337</v>
      </c>
      <c r="N119" s="30">
        <f t="shared" si="2"/>
        <v>77.8937451967177</v>
      </c>
      <c r="O119" s="26" t="s">
        <v>179</v>
      </c>
    </row>
    <row r="120" spans="1:15">
      <c r="A120">
        <f t="shared" si="3"/>
        <v>0</v>
      </c>
      <c r="B120" s="27"/>
      <c r="C120" t="s">
        <v>2654</v>
      </c>
      <c r="D120">
        <v>2023</v>
      </c>
      <c r="E120">
        <v>12</v>
      </c>
      <c r="F120">
        <v>17</v>
      </c>
      <c r="G120" s="26" t="s">
        <v>1076</v>
      </c>
      <c r="H120" s="26" t="s">
        <v>4316</v>
      </c>
      <c r="J120">
        <v>185</v>
      </c>
      <c r="K120">
        <v>15</v>
      </c>
      <c r="L120" s="28">
        <v>17.54</v>
      </c>
      <c r="M120" s="29">
        <v>0.40337</v>
      </c>
      <c r="N120" s="30">
        <f t="shared" si="2"/>
        <v>43.4836502466718</v>
      </c>
      <c r="O120" s="26" t="s">
        <v>179</v>
      </c>
    </row>
    <row r="121" spans="1:15">
      <c r="A121">
        <f t="shared" si="3"/>
        <v>1</v>
      </c>
      <c r="B121" s="27" t="s">
        <v>2683</v>
      </c>
      <c r="C121" t="s">
        <v>2682</v>
      </c>
      <c r="D121">
        <v>2023</v>
      </c>
      <c r="E121">
        <v>12</v>
      </c>
      <c r="F121">
        <v>18</v>
      </c>
      <c r="G121" s="26" t="s">
        <v>2402</v>
      </c>
      <c r="H121" s="26" t="s">
        <v>4317</v>
      </c>
      <c r="I121" s="22">
        <v>887</v>
      </c>
      <c r="J121">
        <v>872</v>
      </c>
      <c r="K121">
        <v>15</v>
      </c>
      <c r="L121" s="28">
        <v>54.16</v>
      </c>
      <c r="M121" s="29">
        <v>0.40337</v>
      </c>
      <c r="N121" s="30">
        <f t="shared" si="2"/>
        <v>134.268785482312</v>
      </c>
      <c r="O121" s="26" t="s">
        <v>179</v>
      </c>
    </row>
    <row r="122" spans="1:15">
      <c r="A122">
        <f t="shared" si="3"/>
        <v>1</v>
      </c>
      <c r="B122" s="27" t="s">
        <v>2708</v>
      </c>
      <c r="C122" t="s">
        <v>2707</v>
      </c>
      <c r="D122">
        <v>2023</v>
      </c>
      <c r="E122">
        <v>12</v>
      </c>
      <c r="F122">
        <v>18</v>
      </c>
      <c r="G122" s="26" t="s">
        <v>2706</v>
      </c>
      <c r="H122" s="26" t="s">
        <v>4318</v>
      </c>
      <c r="I122" s="22">
        <v>335</v>
      </c>
      <c r="J122">
        <v>320</v>
      </c>
      <c r="K122">
        <v>15</v>
      </c>
      <c r="L122" s="28">
        <v>19.78</v>
      </c>
      <c r="M122" s="29">
        <v>0.40337</v>
      </c>
      <c r="N122" s="30">
        <f t="shared" si="2"/>
        <v>49.0368644172844</v>
      </c>
      <c r="O122" s="26" t="s">
        <v>179</v>
      </c>
    </row>
    <row r="123" spans="1:15">
      <c r="A123">
        <f t="shared" si="3"/>
        <v>1</v>
      </c>
      <c r="B123" s="27" t="s">
        <v>2733</v>
      </c>
      <c r="C123" t="s">
        <v>2732</v>
      </c>
      <c r="D123">
        <v>2023</v>
      </c>
      <c r="E123">
        <v>12</v>
      </c>
      <c r="F123">
        <v>18</v>
      </c>
      <c r="G123" s="26" t="s">
        <v>1109</v>
      </c>
      <c r="H123" s="26" t="s">
        <v>4319</v>
      </c>
      <c r="I123" s="22">
        <v>707</v>
      </c>
      <c r="J123">
        <v>692</v>
      </c>
      <c r="K123">
        <v>15</v>
      </c>
      <c r="L123" s="28">
        <v>46.78</v>
      </c>
      <c r="M123" s="29">
        <v>0.410812</v>
      </c>
      <c r="N123" s="30">
        <f t="shared" si="2"/>
        <v>113.872038791467</v>
      </c>
      <c r="O123" s="26" t="s">
        <v>2335</v>
      </c>
    </row>
    <row r="124" spans="1:15">
      <c r="A124">
        <f t="shared" si="3"/>
        <v>1</v>
      </c>
      <c r="B124" s="27" t="s">
        <v>2753</v>
      </c>
      <c r="C124" t="s">
        <v>2752</v>
      </c>
      <c r="D124">
        <v>2023</v>
      </c>
      <c r="E124">
        <v>12</v>
      </c>
      <c r="F124">
        <v>18</v>
      </c>
      <c r="G124" s="26" t="s">
        <v>283</v>
      </c>
      <c r="H124" s="26" t="s">
        <v>4320</v>
      </c>
      <c r="I124" s="22">
        <v>1447</v>
      </c>
      <c r="J124">
        <v>421</v>
      </c>
      <c r="K124">
        <v>15</v>
      </c>
      <c r="L124" s="28">
        <v>30.12</v>
      </c>
      <c r="M124" s="29">
        <v>0.40337</v>
      </c>
      <c r="N124" s="30">
        <f t="shared" si="2"/>
        <v>74.6708976869871</v>
      </c>
      <c r="O124" s="26" t="s">
        <v>179</v>
      </c>
    </row>
    <row r="125" spans="1:15">
      <c r="A125">
        <f t="shared" si="3"/>
        <v>0</v>
      </c>
      <c r="B125" s="27"/>
      <c r="C125" t="s">
        <v>2752</v>
      </c>
      <c r="D125">
        <v>2023</v>
      </c>
      <c r="E125">
        <v>12</v>
      </c>
      <c r="F125">
        <v>18</v>
      </c>
      <c r="G125" s="26" t="s">
        <v>2075</v>
      </c>
      <c r="H125" s="26" t="s">
        <v>4321</v>
      </c>
      <c r="J125">
        <v>533</v>
      </c>
      <c r="K125">
        <v>15</v>
      </c>
      <c r="L125" s="28">
        <v>30.25</v>
      </c>
      <c r="M125" s="29">
        <v>0.40337</v>
      </c>
      <c r="N125" s="30">
        <f t="shared" si="2"/>
        <v>74.9931824379602</v>
      </c>
      <c r="O125" s="26" t="s">
        <v>179</v>
      </c>
    </row>
    <row r="126" spans="1:15">
      <c r="A126">
        <f t="shared" si="3"/>
        <v>0</v>
      </c>
      <c r="B126" s="27"/>
      <c r="C126" t="s">
        <v>2752</v>
      </c>
      <c r="D126">
        <v>2023</v>
      </c>
      <c r="E126">
        <v>12</v>
      </c>
      <c r="F126">
        <v>18</v>
      </c>
      <c r="G126" s="26" t="s">
        <v>475</v>
      </c>
      <c r="H126" s="26" t="s">
        <v>4322</v>
      </c>
      <c r="J126">
        <v>448</v>
      </c>
      <c r="K126">
        <v>15</v>
      </c>
      <c r="L126" s="28">
        <v>32.99</v>
      </c>
      <c r="M126" s="29">
        <v>0.40337</v>
      </c>
      <c r="N126" s="30">
        <f t="shared" si="2"/>
        <v>81.7859533430845</v>
      </c>
      <c r="O126" s="26" t="s">
        <v>179</v>
      </c>
    </row>
    <row r="127" spans="1:15">
      <c r="A127">
        <f t="shared" si="3"/>
        <v>1</v>
      </c>
      <c r="B127" s="27" t="s">
        <v>2799</v>
      </c>
      <c r="C127" t="s">
        <v>2798</v>
      </c>
      <c r="D127">
        <v>2023</v>
      </c>
      <c r="E127">
        <v>12</v>
      </c>
      <c r="F127">
        <v>19</v>
      </c>
      <c r="G127" s="26" t="s">
        <v>765</v>
      </c>
      <c r="H127" s="26" t="s">
        <v>4323</v>
      </c>
      <c r="I127" s="22">
        <v>414</v>
      </c>
      <c r="J127">
        <v>399</v>
      </c>
      <c r="K127">
        <v>15</v>
      </c>
      <c r="L127" s="28">
        <v>33.9</v>
      </c>
      <c r="M127" s="29">
        <v>0.40337</v>
      </c>
      <c r="N127" s="30">
        <f t="shared" si="2"/>
        <v>84.0419465998959</v>
      </c>
      <c r="O127" s="26" t="s">
        <v>179</v>
      </c>
    </row>
    <row r="128" spans="1:15">
      <c r="A128">
        <f t="shared" si="3"/>
        <v>1</v>
      </c>
      <c r="B128" s="27" t="s">
        <v>2825</v>
      </c>
      <c r="C128" t="s">
        <v>2824</v>
      </c>
      <c r="D128">
        <v>2023</v>
      </c>
      <c r="E128">
        <v>12</v>
      </c>
      <c r="F128">
        <v>19</v>
      </c>
      <c r="G128" s="26" t="s">
        <v>283</v>
      </c>
      <c r="H128" s="26" t="s">
        <v>4324</v>
      </c>
      <c r="I128" s="22">
        <v>592</v>
      </c>
      <c r="J128">
        <v>577</v>
      </c>
      <c r="K128">
        <v>15</v>
      </c>
      <c r="L128" s="28">
        <v>42.63</v>
      </c>
      <c r="M128" s="29">
        <v>0.40337</v>
      </c>
      <c r="N128" s="30">
        <f t="shared" si="2"/>
        <v>105.684607184471</v>
      </c>
      <c r="O128" s="26" t="s">
        <v>179</v>
      </c>
    </row>
    <row r="129" spans="1:15">
      <c r="A129">
        <f t="shared" si="3"/>
        <v>1</v>
      </c>
      <c r="B129" s="27" t="s">
        <v>2850</v>
      </c>
      <c r="C129" t="s">
        <v>2849</v>
      </c>
      <c r="D129">
        <v>2023</v>
      </c>
      <c r="E129">
        <v>12</v>
      </c>
      <c r="F129">
        <v>19</v>
      </c>
      <c r="G129" s="26" t="s">
        <v>990</v>
      </c>
      <c r="H129" s="26" t="s">
        <v>4325</v>
      </c>
      <c r="I129" s="22">
        <v>179</v>
      </c>
      <c r="J129">
        <v>164</v>
      </c>
      <c r="K129">
        <v>15</v>
      </c>
      <c r="L129" s="28">
        <v>13.93</v>
      </c>
      <c r="M129" s="29">
        <v>0.40337</v>
      </c>
      <c r="N129" s="30">
        <f t="shared" si="2"/>
        <v>34.534050623497</v>
      </c>
      <c r="O129" s="26" t="s">
        <v>179</v>
      </c>
    </row>
    <row r="130" spans="1:15">
      <c r="A130">
        <f t="shared" si="3"/>
        <v>1</v>
      </c>
      <c r="B130" s="27" t="s">
        <v>2879</v>
      </c>
      <c r="C130" t="s">
        <v>2878</v>
      </c>
      <c r="D130">
        <v>2023</v>
      </c>
      <c r="E130">
        <v>12</v>
      </c>
      <c r="F130">
        <v>20</v>
      </c>
      <c r="G130" s="26" t="s">
        <v>2426</v>
      </c>
      <c r="H130" s="26" t="s">
        <v>4326</v>
      </c>
      <c r="I130" s="22">
        <v>380</v>
      </c>
      <c r="J130">
        <v>186</v>
      </c>
      <c r="K130">
        <v>15</v>
      </c>
      <c r="L130" s="28">
        <v>15.87</v>
      </c>
      <c r="M130" s="29">
        <v>0.40337</v>
      </c>
      <c r="N130" s="30">
        <f t="shared" si="2"/>
        <v>39.3435307534026</v>
      </c>
      <c r="O130" s="26" t="s">
        <v>179</v>
      </c>
    </row>
    <row r="131" spans="1:15">
      <c r="A131">
        <f t="shared" si="3"/>
        <v>0</v>
      </c>
      <c r="B131" s="27"/>
      <c r="C131" t="s">
        <v>2878</v>
      </c>
      <c r="D131">
        <v>2023</v>
      </c>
      <c r="E131">
        <v>12</v>
      </c>
      <c r="F131">
        <v>20</v>
      </c>
      <c r="G131" s="26" t="s">
        <v>2186</v>
      </c>
      <c r="H131" s="26" t="s">
        <v>4327</v>
      </c>
      <c r="J131">
        <v>164</v>
      </c>
      <c r="K131">
        <v>15</v>
      </c>
      <c r="L131" s="28">
        <v>25.36</v>
      </c>
      <c r="M131" s="29">
        <v>0.40337</v>
      </c>
      <c r="N131" s="30">
        <f t="shared" ref="N131:N194" si="4">L131/M131</f>
        <v>62.8703175744354</v>
      </c>
      <c r="O131" s="26" t="s">
        <v>179</v>
      </c>
    </row>
    <row r="132" spans="1:15">
      <c r="A132">
        <f t="shared" ref="A132:A195" si="5">COUNTA(B132)</f>
        <v>1</v>
      </c>
      <c r="B132" s="27" t="s">
        <v>2910</v>
      </c>
      <c r="C132" t="s">
        <v>2909</v>
      </c>
      <c r="D132">
        <v>2023</v>
      </c>
      <c r="E132">
        <v>12</v>
      </c>
      <c r="F132">
        <v>20</v>
      </c>
      <c r="G132" s="26" t="s">
        <v>210</v>
      </c>
      <c r="H132" s="26" t="s">
        <v>4328</v>
      </c>
      <c r="I132" s="22">
        <v>348</v>
      </c>
      <c r="J132">
        <v>333</v>
      </c>
      <c r="K132">
        <v>15</v>
      </c>
      <c r="L132" s="28">
        <v>20.68</v>
      </c>
      <c r="M132" s="29">
        <v>0.40337</v>
      </c>
      <c r="N132" s="30">
        <f t="shared" si="4"/>
        <v>51.2680665394055</v>
      </c>
      <c r="O132" s="26" t="s">
        <v>179</v>
      </c>
    </row>
    <row r="133" spans="1:15">
      <c r="A133">
        <f t="shared" si="5"/>
        <v>1</v>
      </c>
      <c r="B133" s="27" t="s">
        <v>2929</v>
      </c>
      <c r="C133" t="s">
        <v>2928</v>
      </c>
      <c r="D133">
        <v>2023</v>
      </c>
      <c r="E133">
        <v>12</v>
      </c>
      <c r="F133">
        <v>20</v>
      </c>
      <c r="G133" s="26" t="s">
        <v>283</v>
      </c>
      <c r="H133" s="26" t="s">
        <v>4274</v>
      </c>
      <c r="I133" s="22">
        <v>554</v>
      </c>
      <c r="J133">
        <v>539</v>
      </c>
      <c r="K133">
        <v>15</v>
      </c>
      <c r="L133" s="28">
        <v>37.25</v>
      </c>
      <c r="M133" s="29">
        <v>0.40337</v>
      </c>
      <c r="N133" s="30">
        <f t="shared" si="4"/>
        <v>92.3469767211245</v>
      </c>
      <c r="O133" s="26" t="s">
        <v>179</v>
      </c>
    </row>
    <row r="134" spans="1:15">
      <c r="A134">
        <f t="shared" si="5"/>
        <v>1</v>
      </c>
      <c r="B134" s="27" t="s">
        <v>2947</v>
      </c>
      <c r="C134" t="s">
        <v>2946</v>
      </c>
      <c r="D134">
        <v>2023</v>
      </c>
      <c r="E134">
        <v>12</v>
      </c>
      <c r="F134">
        <v>21</v>
      </c>
      <c r="G134" s="26" t="s">
        <v>2945</v>
      </c>
      <c r="H134" s="26" t="s">
        <v>4329</v>
      </c>
      <c r="I134" s="22">
        <v>778</v>
      </c>
      <c r="J134">
        <v>763</v>
      </c>
      <c r="K134">
        <v>15</v>
      </c>
      <c r="L134" s="28">
        <v>50.52</v>
      </c>
      <c r="M134" s="29">
        <v>0.40337</v>
      </c>
      <c r="N134" s="30">
        <f t="shared" si="4"/>
        <v>125.244812455066</v>
      </c>
      <c r="O134" s="26" t="s">
        <v>179</v>
      </c>
    </row>
    <row r="135" spans="1:15">
      <c r="A135">
        <f t="shared" si="5"/>
        <v>1</v>
      </c>
      <c r="B135" s="27" t="s">
        <v>2970</v>
      </c>
      <c r="C135" t="s">
        <v>2969</v>
      </c>
      <c r="D135">
        <v>2023</v>
      </c>
      <c r="E135">
        <v>12</v>
      </c>
      <c r="F135">
        <v>21</v>
      </c>
      <c r="G135" s="26" t="s">
        <v>1884</v>
      </c>
      <c r="H135" s="26" t="s">
        <v>4314</v>
      </c>
      <c r="I135" s="22">
        <v>206</v>
      </c>
      <c r="J135">
        <v>191</v>
      </c>
      <c r="K135">
        <v>15</v>
      </c>
      <c r="L135" s="28">
        <v>22</v>
      </c>
      <c r="M135" s="29">
        <v>0.40337</v>
      </c>
      <c r="N135" s="30">
        <f t="shared" si="4"/>
        <v>54.5404963185165</v>
      </c>
      <c r="O135" s="26" t="s">
        <v>179</v>
      </c>
    </row>
    <row r="136" spans="1:15">
      <c r="A136">
        <f t="shared" si="5"/>
        <v>1</v>
      </c>
      <c r="B136" s="27" t="s">
        <v>2984</v>
      </c>
      <c r="C136" t="s">
        <v>2983</v>
      </c>
      <c r="D136">
        <v>2023</v>
      </c>
      <c r="E136">
        <v>12</v>
      </c>
      <c r="F136">
        <v>21</v>
      </c>
      <c r="G136" s="26" t="s">
        <v>210</v>
      </c>
      <c r="H136" s="26" t="s">
        <v>4330</v>
      </c>
      <c r="I136" s="22">
        <v>3867</v>
      </c>
      <c r="J136">
        <v>377</v>
      </c>
      <c r="K136">
        <v>15</v>
      </c>
      <c r="L136" s="28">
        <v>31.1</v>
      </c>
      <c r="M136" s="29">
        <v>0.410812</v>
      </c>
      <c r="N136" s="30">
        <f t="shared" si="4"/>
        <v>75.7037282260499</v>
      </c>
      <c r="O136" s="26" t="s">
        <v>179</v>
      </c>
    </row>
    <row r="137" spans="1:15">
      <c r="A137">
        <f t="shared" si="5"/>
        <v>0</v>
      </c>
      <c r="B137" s="27"/>
      <c r="C137" t="s">
        <v>2983</v>
      </c>
      <c r="D137">
        <v>2023</v>
      </c>
      <c r="E137">
        <v>12</v>
      </c>
      <c r="F137">
        <v>21</v>
      </c>
      <c r="G137" s="26" t="s">
        <v>210</v>
      </c>
      <c r="H137" s="26" t="s">
        <v>4330</v>
      </c>
      <c r="J137">
        <v>377</v>
      </c>
      <c r="K137">
        <v>15</v>
      </c>
      <c r="L137" s="28">
        <v>31.1</v>
      </c>
      <c r="M137" s="29">
        <v>0.410812</v>
      </c>
      <c r="N137" s="30">
        <f t="shared" si="4"/>
        <v>75.7037282260499</v>
      </c>
      <c r="O137" s="26" t="s">
        <v>179</v>
      </c>
    </row>
    <row r="138" spans="1:15">
      <c r="A138">
        <f t="shared" si="5"/>
        <v>0</v>
      </c>
      <c r="B138" s="27"/>
      <c r="C138" t="s">
        <v>2983</v>
      </c>
      <c r="D138">
        <v>2023</v>
      </c>
      <c r="E138">
        <v>12</v>
      </c>
      <c r="F138">
        <v>21</v>
      </c>
      <c r="G138" s="26" t="s">
        <v>210</v>
      </c>
      <c r="H138" s="26" t="s">
        <v>4331</v>
      </c>
      <c r="J138">
        <v>778</v>
      </c>
      <c r="K138">
        <v>15</v>
      </c>
      <c r="L138" s="28">
        <v>117.53</v>
      </c>
      <c r="M138" s="29">
        <v>0.410812</v>
      </c>
      <c r="N138" s="30">
        <f t="shared" si="4"/>
        <v>286.09193499703</v>
      </c>
      <c r="O138" s="26" t="s">
        <v>179</v>
      </c>
    </row>
    <row r="139" spans="1:15">
      <c r="A139">
        <f t="shared" si="5"/>
        <v>0</v>
      </c>
      <c r="B139" s="27"/>
      <c r="C139" t="s">
        <v>2983</v>
      </c>
      <c r="D139">
        <v>2023</v>
      </c>
      <c r="E139">
        <v>12</v>
      </c>
      <c r="F139">
        <v>21</v>
      </c>
      <c r="G139" s="26" t="s">
        <v>210</v>
      </c>
      <c r="H139" s="26" t="s">
        <v>4332</v>
      </c>
      <c r="J139">
        <v>456</v>
      </c>
      <c r="K139">
        <v>15</v>
      </c>
      <c r="L139" s="28">
        <v>52.14</v>
      </c>
      <c r="M139" s="29">
        <v>0.410812</v>
      </c>
      <c r="N139" s="30">
        <f t="shared" si="4"/>
        <v>126.919369443931</v>
      </c>
      <c r="O139" s="26" t="s">
        <v>179</v>
      </c>
    </row>
    <row r="140" spans="1:15">
      <c r="A140">
        <f t="shared" si="5"/>
        <v>0</v>
      </c>
      <c r="B140" s="27"/>
      <c r="C140" t="s">
        <v>2983</v>
      </c>
      <c r="D140">
        <v>2023</v>
      </c>
      <c r="E140">
        <v>12</v>
      </c>
      <c r="F140">
        <v>21</v>
      </c>
      <c r="G140" s="26" t="s">
        <v>210</v>
      </c>
      <c r="H140" s="26" t="s">
        <v>4332</v>
      </c>
      <c r="J140">
        <v>456</v>
      </c>
      <c r="K140">
        <v>15</v>
      </c>
      <c r="L140" s="28">
        <v>52.14</v>
      </c>
      <c r="M140" s="29">
        <v>0.410812</v>
      </c>
      <c r="N140" s="30">
        <f t="shared" si="4"/>
        <v>126.919369443931</v>
      </c>
      <c r="O140" s="26" t="s">
        <v>179</v>
      </c>
    </row>
    <row r="141" spans="1:15">
      <c r="A141">
        <f t="shared" si="5"/>
        <v>0</v>
      </c>
      <c r="B141" s="27"/>
      <c r="C141" t="s">
        <v>2983</v>
      </c>
      <c r="D141">
        <v>2023</v>
      </c>
      <c r="E141">
        <v>12</v>
      </c>
      <c r="F141">
        <v>21</v>
      </c>
      <c r="G141" s="26" t="s">
        <v>210</v>
      </c>
      <c r="H141" s="26" t="s">
        <v>4333</v>
      </c>
      <c r="J141">
        <v>664</v>
      </c>
      <c r="K141">
        <v>15</v>
      </c>
      <c r="L141" s="28">
        <v>105.6</v>
      </c>
      <c r="M141" s="29">
        <v>0.410812</v>
      </c>
      <c r="N141" s="30">
        <f t="shared" si="4"/>
        <v>257.051887481378</v>
      </c>
      <c r="O141" s="26" t="s">
        <v>179</v>
      </c>
    </row>
    <row r="142" spans="1:15">
      <c r="A142">
        <f t="shared" si="5"/>
        <v>0</v>
      </c>
      <c r="B142" s="27"/>
      <c r="C142" t="s">
        <v>2983</v>
      </c>
      <c r="D142">
        <v>2023</v>
      </c>
      <c r="E142">
        <v>12</v>
      </c>
      <c r="F142">
        <v>21</v>
      </c>
      <c r="G142" s="26" t="s">
        <v>210</v>
      </c>
      <c r="H142" s="26" t="s">
        <v>4333</v>
      </c>
      <c r="J142">
        <v>654</v>
      </c>
      <c r="K142">
        <v>15</v>
      </c>
      <c r="L142" s="28">
        <v>102.27</v>
      </c>
      <c r="M142" s="29">
        <v>0.410812</v>
      </c>
      <c r="N142" s="30">
        <f t="shared" si="4"/>
        <v>248.945989893187</v>
      </c>
      <c r="O142" s="26" t="s">
        <v>179</v>
      </c>
    </row>
    <row r="143" spans="1:15">
      <c r="A143">
        <f t="shared" si="5"/>
        <v>1</v>
      </c>
      <c r="B143" s="27" t="s">
        <v>3053</v>
      </c>
      <c r="C143" t="s">
        <v>3052</v>
      </c>
      <c r="D143">
        <v>2023</v>
      </c>
      <c r="E143">
        <v>12</v>
      </c>
      <c r="F143">
        <v>22</v>
      </c>
      <c r="G143" s="26" t="s">
        <v>517</v>
      </c>
      <c r="H143" s="26" t="s">
        <v>4334</v>
      </c>
      <c r="I143" s="22">
        <v>494</v>
      </c>
      <c r="J143">
        <v>479</v>
      </c>
      <c r="K143">
        <v>15</v>
      </c>
      <c r="L143" s="28">
        <v>23.45</v>
      </c>
      <c r="M143" s="29">
        <v>0.40337</v>
      </c>
      <c r="N143" s="30">
        <f t="shared" si="4"/>
        <v>58.1352108486005</v>
      </c>
      <c r="O143" s="26" t="s">
        <v>179</v>
      </c>
    </row>
    <row r="144" spans="1:15">
      <c r="A144">
        <f t="shared" si="5"/>
        <v>1</v>
      </c>
      <c r="B144" s="27" t="s">
        <v>3076</v>
      </c>
      <c r="C144" t="s">
        <v>3075</v>
      </c>
      <c r="D144">
        <v>2023</v>
      </c>
      <c r="E144">
        <v>12</v>
      </c>
      <c r="F144">
        <v>22</v>
      </c>
      <c r="G144" s="26" t="s">
        <v>2426</v>
      </c>
      <c r="H144" s="26" t="s">
        <v>4335</v>
      </c>
      <c r="I144" s="22">
        <v>346</v>
      </c>
      <c r="J144">
        <v>190</v>
      </c>
      <c r="K144">
        <v>15</v>
      </c>
      <c r="L144" s="28">
        <v>25.29</v>
      </c>
      <c r="M144" s="29">
        <v>0.40337</v>
      </c>
      <c r="N144" s="30">
        <f t="shared" si="4"/>
        <v>62.6967796316037</v>
      </c>
      <c r="O144" s="26" t="s">
        <v>179</v>
      </c>
    </row>
    <row r="145" spans="1:15">
      <c r="A145">
        <f t="shared" si="5"/>
        <v>0</v>
      </c>
      <c r="B145" s="27"/>
      <c r="C145" t="s">
        <v>3075</v>
      </c>
      <c r="D145">
        <v>2023</v>
      </c>
      <c r="E145">
        <v>12</v>
      </c>
      <c r="F145">
        <v>22</v>
      </c>
      <c r="G145" s="26" t="s">
        <v>2426</v>
      </c>
      <c r="H145" s="26" t="s">
        <v>4336</v>
      </c>
      <c r="J145">
        <v>126</v>
      </c>
      <c r="K145">
        <v>15</v>
      </c>
      <c r="L145" s="28">
        <v>18.94</v>
      </c>
      <c r="M145" s="29">
        <v>0.40337</v>
      </c>
      <c r="N145" s="30">
        <f t="shared" si="4"/>
        <v>46.9544091033047</v>
      </c>
      <c r="O145" s="26" t="s">
        <v>179</v>
      </c>
    </row>
    <row r="146" spans="1:15">
      <c r="A146">
        <f t="shared" si="5"/>
        <v>1</v>
      </c>
      <c r="B146" s="27" t="s">
        <v>3109</v>
      </c>
      <c r="C146" t="s">
        <v>3108</v>
      </c>
      <c r="D146">
        <v>2023</v>
      </c>
      <c r="E146">
        <v>12</v>
      </c>
      <c r="F146">
        <v>22</v>
      </c>
      <c r="G146" s="26" t="s">
        <v>2426</v>
      </c>
      <c r="H146" s="26" t="s">
        <v>4337</v>
      </c>
      <c r="I146" s="22">
        <v>379</v>
      </c>
      <c r="J146">
        <v>181</v>
      </c>
      <c r="K146">
        <v>15</v>
      </c>
      <c r="L146" s="28">
        <v>22.74</v>
      </c>
      <c r="M146" s="29">
        <v>0.40337</v>
      </c>
      <c r="N146" s="30">
        <f t="shared" si="4"/>
        <v>56.3750402855939</v>
      </c>
      <c r="O146" s="26" t="s">
        <v>179</v>
      </c>
    </row>
    <row r="147" spans="1:15">
      <c r="A147">
        <f t="shared" si="5"/>
        <v>0</v>
      </c>
      <c r="B147" s="27"/>
      <c r="C147" t="s">
        <v>3108</v>
      </c>
      <c r="D147">
        <v>2023</v>
      </c>
      <c r="E147">
        <v>12</v>
      </c>
      <c r="F147">
        <v>22</v>
      </c>
      <c r="G147" s="26" t="s">
        <v>2426</v>
      </c>
      <c r="H147" s="26" t="s">
        <v>4307</v>
      </c>
      <c r="J147">
        <v>168</v>
      </c>
      <c r="K147">
        <v>15</v>
      </c>
      <c r="L147" s="28">
        <v>22.58</v>
      </c>
      <c r="M147" s="29">
        <v>0.40337</v>
      </c>
      <c r="N147" s="30">
        <f t="shared" si="4"/>
        <v>55.9783821305501</v>
      </c>
      <c r="O147" s="26" t="s">
        <v>179</v>
      </c>
    </row>
    <row r="148" spans="1:15">
      <c r="A148">
        <f t="shared" si="5"/>
        <v>1</v>
      </c>
      <c r="B148" s="27" t="s">
        <v>3136</v>
      </c>
      <c r="C148" t="s">
        <v>3135</v>
      </c>
      <c r="D148">
        <v>2023</v>
      </c>
      <c r="E148">
        <v>12</v>
      </c>
      <c r="F148">
        <v>22</v>
      </c>
      <c r="G148" s="26" t="s">
        <v>2426</v>
      </c>
      <c r="H148" s="26" t="s">
        <v>4338</v>
      </c>
      <c r="I148" s="22">
        <v>165</v>
      </c>
      <c r="J148">
        <v>150</v>
      </c>
      <c r="K148">
        <v>15</v>
      </c>
      <c r="L148" s="28">
        <v>12.14</v>
      </c>
      <c r="M148" s="29">
        <v>0.40337</v>
      </c>
      <c r="N148" s="30">
        <f t="shared" si="4"/>
        <v>30.096437513945</v>
      </c>
      <c r="O148" s="26" t="s">
        <v>179</v>
      </c>
    </row>
    <row r="149" spans="1:15">
      <c r="A149">
        <f t="shared" si="5"/>
        <v>1</v>
      </c>
      <c r="B149" s="27" t="s">
        <v>3161</v>
      </c>
      <c r="C149" t="s">
        <v>3160</v>
      </c>
      <c r="D149">
        <v>2023</v>
      </c>
      <c r="E149">
        <v>12</v>
      </c>
      <c r="F149">
        <v>23</v>
      </c>
      <c r="G149" s="26" t="s">
        <v>366</v>
      </c>
      <c r="H149" s="26" t="s">
        <v>4339</v>
      </c>
      <c r="I149" s="22">
        <v>1937</v>
      </c>
      <c r="J149">
        <v>797</v>
      </c>
      <c r="K149">
        <v>15</v>
      </c>
      <c r="L149" s="28">
        <v>79.58</v>
      </c>
      <c r="M149" s="29">
        <v>0.410812</v>
      </c>
      <c r="N149" s="30">
        <f t="shared" si="4"/>
        <v>193.71391293341</v>
      </c>
      <c r="O149" s="26" t="s">
        <v>179</v>
      </c>
    </row>
    <row r="150" spans="1:15">
      <c r="A150">
        <f t="shared" si="5"/>
        <v>0</v>
      </c>
      <c r="B150" s="27"/>
      <c r="C150" t="s">
        <v>3160</v>
      </c>
      <c r="D150">
        <v>2023</v>
      </c>
      <c r="E150">
        <v>12</v>
      </c>
      <c r="F150">
        <v>23</v>
      </c>
      <c r="G150" s="26" t="s">
        <v>3182</v>
      </c>
      <c r="H150" s="26" t="s">
        <v>4340</v>
      </c>
      <c r="J150">
        <v>360</v>
      </c>
      <c r="K150">
        <v>15</v>
      </c>
      <c r="L150" s="28">
        <v>28.33</v>
      </c>
      <c r="M150" s="29">
        <v>0.410812</v>
      </c>
      <c r="N150" s="30">
        <f t="shared" si="4"/>
        <v>68.9609845866236</v>
      </c>
      <c r="O150" s="26" t="s">
        <v>179</v>
      </c>
    </row>
    <row r="151" spans="1:15">
      <c r="A151">
        <f t="shared" si="5"/>
        <v>0</v>
      </c>
      <c r="B151" s="27"/>
      <c r="C151" t="s">
        <v>3160</v>
      </c>
      <c r="D151">
        <v>2023</v>
      </c>
      <c r="E151">
        <v>12</v>
      </c>
      <c r="F151">
        <v>23</v>
      </c>
      <c r="G151" s="26" t="s">
        <v>3182</v>
      </c>
      <c r="H151" s="26" t="s">
        <v>4340</v>
      </c>
      <c r="J151">
        <v>360</v>
      </c>
      <c r="K151">
        <v>15</v>
      </c>
      <c r="L151" s="28">
        <v>30.45</v>
      </c>
      <c r="M151" s="29">
        <v>0.410812</v>
      </c>
      <c r="N151" s="30">
        <f t="shared" si="4"/>
        <v>74.1214959640906</v>
      </c>
      <c r="O151" s="26" t="s">
        <v>179</v>
      </c>
    </row>
    <row r="152" spans="1:15">
      <c r="A152">
        <f t="shared" si="5"/>
        <v>0</v>
      </c>
      <c r="B152" s="27"/>
      <c r="C152" t="s">
        <v>3160</v>
      </c>
      <c r="D152">
        <v>2023</v>
      </c>
      <c r="E152">
        <v>12</v>
      </c>
      <c r="F152">
        <v>23</v>
      </c>
      <c r="G152" s="26" t="s">
        <v>3182</v>
      </c>
      <c r="H152" s="26" t="s">
        <v>4340</v>
      </c>
      <c r="J152">
        <v>360</v>
      </c>
      <c r="K152">
        <v>15</v>
      </c>
      <c r="L152" s="28">
        <v>25.99</v>
      </c>
      <c r="M152" s="29">
        <v>0.410812</v>
      </c>
      <c r="N152" s="30">
        <f t="shared" si="4"/>
        <v>63.2649484435703</v>
      </c>
      <c r="O152" s="26" t="s">
        <v>179</v>
      </c>
    </row>
    <row r="153" spans="1:15">
      <c r="A153">
        <f t="shared" si="5"/>
        <v>1</v>
      </c>
      <c r="B153" s="27" t="s">
        <v>3202</v>
      </c>
      <c r="C153" t="s">
        <v>3201</v>
      </c>
      <c r="D153">
        <v>2023</v>
      </c>
      <c r="E153">
        <v>12</v>
      </c>
      <c r="F153">
        <v>23</v>
      </c>
      <c r="G153" s="26" t="s">
        <v>2426</v>
      </c>
      <c r="H153" s="26" t="s">
        <v>4341</v>
      </c>
      <c r="I153" s="22">
        <v>186</v>
      </c>
      <c r="J153">
        <v>171</v>
      </c>
      <c r="K153">
        <v>15</v>
      </c>
      <c r="L153" s="28">
        <v>14.08</v>
      </c>
      <c r="M153" s="29">
        <v>0.40337</v>
      </c>
      <c r="N153" s="30">
        <f t="shared" si="4"/>
        <v>34.9059176438506</v>
      </c>
      <c r="O153" s="26" t="s">
        <v>179</v>
      </c>
    </row>
    <row r="154" spans="1:15">
      <c r="A154">
        <f t="shared" si="5"/>
        <v>1</v>
      </c>
      <c r="B154" s="27" t="s">
        <v>3226</v>
      </c>
      <c r="C154" t="s">
        <v>3225</v>
      </c>
      <c r="D154">
        <v>2023</v>
      </c>
      <c r="E154">
        <v>12</v>
      </c>
      <c r="F154">
        <v>23</v>
      </c>
      <c r="G154" s="26" t="s">
        <v>2426</v>
      </c>
      <c r="H154" s="26" t="s">
        <v>4307</v>
      </c>
      <c r="I154" s="22">
        <v>187</v>
      </c>
      <c r="J154">
        <v>172</v>
      </c>
      <c r="K154">
        <v>15</v>
      </c>
      <c r="L154" s="28">
        <v>12.97</v>
      </c>
      <c r="M154" s="29">
        <v>0.40337</v>
      </c>
      <c r="N154" s="30">
        <f t="shared" si="4"/>
        <v>32.1541016932345</v>
      </c>
      <c r="O154" s="26" t="s">
        <v>179</v>
      </c>
    </row>
    <row r="155" spans="1:15">
      <c r="A155">
        <f t="shared" si="5"/>
        <v>1</v>
      </c>
      <c r="B155" s="27" t="s">
        <v>3243</v>
      </c>
      <c r="C155" t="s">
        <v>3242</v>
      </c>
      <c r="D155">
        <v>2023</v>
      </c>
      <c r="E155">
        <v>12</v>
      </c>
      <c r="F155">
        <v>24</v>
      </c>
      <c r="G155" s="26" t="s">
        <v>245</v>
      </c>
      <c r="H155" s="26" t="s">
        <v>4342</v>
      </c>
      <c r="I155" s="22">
        <v>374</v>
      </c>
      <c r="J155">
        <v>359</v>
      </c>
      <c r="K155">
        <v>15</v>
      </c>
      <c r="L155" s="28">
        <v>24.17</v>
      </c>
      <c r="M155" s="29">
        <v>0.410812</v>
      </c>
      <c r="N155" s="30">
        <f t="shared" si="4"/>
        <v>58.8346981100844</v>
      </c>
      <c r="O155" s="26" t="s">
        <v>179</v>
      </c>
    </row>
    <row r="156" spans="1:15">
      <c r="A156">
        <f t="shared" si="5"/>
        <v>1</v>
      </c>
      <c r="B156" s="27" t="s">
        <v>3265</v>
      </c>
      <c r="C156" t="s">
        <v>3264</v>
      </c>
      <c r="D156">
        <v>2023</v>
      </c>
      <c r="E156">
        <v>12</v>
      </c>
      <c r="F156">
        <v>24</v>
      </c>
      <c r="G156" s="26" t="s">
        <v>3263</v>
      </c>
      <c r="H156" s="26" t="s">
        <v>4343</v>
      </c>
      <c r="I156" s="22">
        <v>292</v>
      </c>
      <c r="J156">
        <v>142</v>
      </c>
      <c r="K156">
        <v>15</v>
      </c>
      <c r="L156" s="28">
        <v>9.71</v>
      </c>
      <c r="M156" s="29">
        <v>0.410812</v>
      </c>
      <c r="N156" s="30">
        <f t="shared" si="4"/>
        <v>23.6361157901911</v>
      </c>
      <c r="O156" s="26" t="s">
        <v>179</v>
      </c>
    </row>
    <row r="157" spans="1:15">
      <c r="A157">
        <f t="shared" si="5"/>
        <v>0</v>
      </c>
      <c r="B157" s="27"/>
      <c r="C157" t="s">
        <v>3264</v>
      </c>
      <c r="D157">
        <v>2023</v>
      </c>
      <c r="E157">
        <v>12</v>
      </c>
      <c r="F157">
        <v>24</v>
      </c>
      <c r="G157" s="26" t="s">
        <v>3263</v>
      </c>
      <c r="H157" s="26" t="s">
        <v>4344</v>
      </c>
      <c r="J157">
        <v>120</v>
      </c>
      <c r="K157">
        <v>15</v>
      </c>
      <c r="L157" s="28">
        <v>18.64</v>
      </c>
      <c r="M157" s="29">
        <v>0.410812</v>
      </c>
      <c r="N157" s="30">
        <f t="shared" si="4"/>
        <v>45.3735528660312</v>
      </c>
      <c r="O157" s="26" t="s">
        <v>179</v>
      </c>
    </row>
    <row r="158" spans="1:15">
      <c r="A158">
        <f t="shared" si="5"/>
        <v>1</v>
      </c>
      <c r="B158" s="27" t="s">
        <v>3298</v>
      </c>
      <c r="C158" t="s">
        <v>3297</v>
      </c>
      <c r="D158">
        <v>2023</v>
      </c>
      <c r="E158">
        <v>12</v>
      </c>
      <c r="F158">
        <v>24</v>
      </c>
      <c r="G158" s="26" t="s">
        <v>2075</v>
      </c>
      <c r="H158" s="26" t="s">
        <v>4345</v>
      </c>
      <c r="I158" s="22">
        <v>858</v>
      </c>
      <c r="J158">
        <v>414</v>
      </c>
      <c r="K158">
        <v>15</v>
      </c>
      <c r="L158" s="28">
        <v>37.33</v>
      </c>
      <c r="M158" s="29">
        <v>0.410812</v>
      </c>
      <c r="N158" s="30">
        <f t="shared" si="4"/>
        <v>90.8688159060592</v>
      </c>
      <c r="O158" s="26" t="s">
        <v>179</v>
      </c>
    </row>
    <row r="159" spans="1:15">
      <c r="A159">
        <f t="shared" si="5"/>
        <v>0</v>
      </c>
      <c r="B159" s="27"/>
      <c r="C159" t="s">
        <v>3297</v>
      </c>
      <c r="D159">
        <v>2023</v>
      </c>
      <c r="E159">
        <v>12</v>
      </c>
      <c r="F159">
        <v>24</v>
      </c>
      <c r="G159" s="26" t="s">
        <v>2075</v>
      </c>
      <c r="H159" s="26" t="s">
        <v>4345</v>
      </c>
      <c r="J159">
        <v>414</v>
      </c>
      <c r="K159">
        <v>15</v>
      </c>
      <c r="L159" s="28">
        <v>37.33</v>
      </c>
      <c r="M159" s="29">
        <v>0.410812</v>
      </c>
      <c r="N159" s="30">
        <f t="shared" si="4"/>
        <v>90.8688159060592</v>
      </c>
      <c r="O159" s="26" t="s">
        <v>179</v>
      </c>
    </row>
    <row r="160" spans="1:15">
      <c r="A160">
        <f t="shared" si="5"/>
        <v>1</v>
      </c>
      <c r="B160" s="27" t="s">
        <v>3326</v>
      </c>
      <c r="C160" t="s">
        <v>3325</v>
      </c>
      <c r="D160">
        <v>2023</v>
      </c>
      <c r="E160">
        <v>12</v>
      </c>
      <c r="F160">
        <v>25</v>
      </c>
      <c r="G160" s="26" t="s">
        <v>245</v>
      </c>
      <c r="H160" s="26" t="s">
        <v>4346</v>
      </c>
      <c r="I160" s="22">
        <v>389</v>
      </c>
      <c r="J160">
        <v>374</v>
      </c>
      <c r="K160">
        <v>15</v>
      </c>
      <c r="L160" s="28">
        <v>20.66</v>
      </c>
      <c r="M160" s="29">
        <v>0.40337</v>
      </c>
      <c r="N160" s="30">
        <f t="shared" si="4"/>
        <v>51.218484270025</v>
      </c>
      <c r="O160" s="26" t="s">
        <v>179</v>
      </c>
    </row>
    <row r="161" spans="1:15">
      <c r="A161">
        <f t="shared" si="5"/>
        <v>1</v>
      </c>
      <c r="B161" s="27" t="s">
        <v>3348</v>
      </c>
      <c r="C161" t="s">
        <v>3347</v>
      </c>
      <c r="D161">
        <v>2023</v>
      </c>
      <c r="E161">
        <v>12</v>
      </c>
      <c r="F161">
        <v>25</v>
      </c>
      <c r="G161" s="26" t="s">
        <v>3346</v>
      </c>
      <c r="H161" s="26" t="s">
        <v>4347</v>
      </c>
      <c r="I161" s="22">
        <v>358</v>
      </c>
      <c r="J161">
        <v>343</v>
      </c>
      <c r="K161">
        <v>15</v>
      </c>
      <c r="L161" s="28">
        <v>44.33</v>
      </c>
      <c r="M161" s="29">
        <v>0.410812</v>
      </c>
      <c r="N161" s="30">
        <f t="shared" si="4"/>
        <v>107.90824026562</v>
      </c>
      <c r="O161" s="26" t="s">
        <v>179</v>
      </c>
    </row>
    <row r="162" spans="1:15">
      <c r="A162">
        <f t="shared" si="5"/>
        <v>1</v>
      </c>
      <c r="B162" s="27" t="s">
        <v>3372</v>
      </c>
      <c r="C162" t="s">
        <v>3371</v>
      </c>
      <c r="D162">
        <v>2023</v>
      </c>
      <c r="E162">
        <v>12</v>
      </c>
      <c r="F162">
        <v>25</v>
      </c>
      <c r="G162" s="26" t="s">
        <v>2186</v>
      </c>
      <c r="H162" s="26" t="s">
        <v>3373</v>
      </c>
      <c r="I162" s="22">
        <v>167</v>
      </c>
      <c r="J162">
        <v>152</v>
      </c>
      <c r="K162">
        <v>15</v>
      </c>
      <c r="L162" s="28">
        <v>13.22</v>
      </c>
      <c r="M162" s="29">
        <v>0.40337</v>
      </c>
      <c r="N162" s="30">
        <f t="shared" si="4"/>
        <v>32.7738800604904</v>
      </c>
      <c r="O162" s="26" t="s">
        <v>179</v>
      </c>
    </row>
    <row r="163" spans="1:15">
      <c r="A163">
        <f t="shared" si="5"/>
        <v>1</v>
      </c>
      <c r="B163" s="27" t="s">
        <v>3398</v>
      </c>
      <c r="C163" t="s">
        <v>3397</v>
      </c>
      <c r="D163">
        <v>2023</v>
      </c>
      <c r="E163">
        <v>12</v>
      </c>
      <c r="F163">
        <v>26</v>
      </c>
      <c r="G163" s="26" t="s">
        <v>1957</v>
      </c>
      <c r="H163" s="26" t="s">
        <v>4290</v>
      </c>
      <c r="I163" s="22">
        <v>544</v>
      </c>
      <c r="J163">
        <v>529</v>
      </c>
      <c r="K163">
        <v>15</v>
      </c>
      <c r="L163" s="28">
        <v>35.26</v>
      </c>
      <c r="M163" s="29">
        <v>0.410812</v>
      </c>
      <c r="N163" s="30">
        <f t="shared" si="4"/>
        <v>85.830014702589</v>
      </c>
      <c r="O163" s="26" t="s">
        <v>179</v>
      </c>
    </row>
    <row r="164" spans="1:15">
      <c r="A164">
        <f t="shared" si="5"/>
        <v>1</v>
      </c>
      <c r="B164" s="27" t="s">
        <v>3418</v>
      </c>
      <c r="C164" t="s">
        <v>3417</v>
      </c>
      <c r="D164">
        <v>2023</v>
      </c>
      <c r="E164">
        <v>12</v>
      </c>
      <c r="F164">
        <v>26</v>
      </c>
      <c r="G164" s="26" t="s">
        <v>894</v>
      </c>
      <c r="H164" s="26" t="s">
        <v>4348</v>
      </c>
      <c r="I164" s="22">
        <v>343</v>
      </c>
      <c r="J164">
        <v>328</v>
      </c>
      <c r="K164">
        <v>15</v>
      </c>
      <c r="L164" s="28">
        <v>27.83</v>
      </c>
      <c r="M164" s="29">
        <v>0.410812</v>
      </c>
      <c r="N164" s="30">
        <f t="shared" si="4"/>
        <v>67.7438828466549</v>
      </c>
      <c r="O164" s="26" t="s">
        <v>179</v>
      </c>
    </row>
    <row r="165" spans="1:15">
      <c r="A165">
        <f t="shared" si="5"/>
        <v>1</v>
      </c>
      <c r="B165" s="27" t="s">
        <v>3441</v>
      </c>
      <c r="C165" t="s">
        <v>3440</v>
      </c>
      <c r="D165">
        <v>2023</v>
      </c>
      <c r="E165">
        <v>12</v>
      </c>
      <c r="F165">
        <v>27</v>
      </c>
      <c r="G165" s="26" t="s">
        <v>2426</v>
      </c>
      <c r="H165" s="26" t="s">
        <v>4349</v>
      </c>
      <c r="I165" s="22">
        <v>450</v>
      </c>
      <c r="J165">
        <v>153</v>
      </c>
      <c r="K165">
        <v>15</v>
      </c>
      <c r="L165" s="28">
        <v>24.13</v>
      </c>
      <c r="M165" s="29">
        <v>0.410812</v>
      </c>
      <c r="N165" s="30">
        <f t="shared" si="4"/>
        <v>58.7373299708869</v>
      </c>
      <c r="O165" s="26" t="s">
        <v>179</v>
      </c>
    </row>
    <row r="166" spans="1:15">
      <c r="A166">
        <f t="shared" si="5"/>
        <v>0</v>
      </c>
      <c r="B166" s="27"/>
      <c r="C166" t="s">
        <v>3440</v>
      </c>
      <c r="D166">
        <v>2023</v>
      </c>
      <c r="E166">
        <v>12</v>
      </c>
      <c r="F166">
        <v>27</v>
      </c>
      <c r="G166" s="26" t="s">
        <v>3263</v>
      </c>
      <c r="H166" s="26" t="s">
        <v>4350</v>
      </c>
      <c r="J166">
        <v>125</v>
      </c>
      <c r="K166">
        <v>15</v>
      </c>
      <c r="L166" s="28">
        <v>27.72</v>
      </c>
      <c r="M166" s="29">
        <v>0.410812</v>
      </c>
      <c r="N166" s="30">
        <f t="shared" si="4"/>
        <v>67.4761204638618</v>
      </c>
      <c r="O166" s="26" t="s">
        <v>179</v>
      </c>
    </row>
    <row r="167" spans="1:15">
      <c r="A167">
        <f t="shared" si="5"/>
        <v>0</v>
      </c>
      <c r="B167" s="27"/>
      <c r="C167" t="s">
        <v>3440</v>
      </c>
      <c r="D167">
        <v>2023</v>
      </c>
      <c r="E167">
        <v>12</v>
      </c>
      <c r="F167">
        <v>27</v>
      </c>
      <c r="G167" s="26" t="s">
        <v>2426</v>
      </c>
      <c r="H167" s="26" t="s">
        <v>4351</v>
      </c>
      <c r="J167">
        <v>127</v>
      </c>
      <c r="K167">
        <v>15</v>
      </c>
      <c r="L167" s="28">
        <v>25.26</v>
      </c>
      <c r="M167" s="29">
        <v>0.410812</v>
      </c>
      <c r="N167" s="30">
        <f t="shared" si="4"/>
        <v>61.4879799032161</v>
      </c>
      <c r="O167" s="26" t="s">
        <v>179</v>
      </c>
    </row>
    <row r="168" spans="1:15">
      <c r="A168">
        <f t="shared" si="5"/>
        <v>1</v>
      </c>
      <c r="B168" s="27" t="s">
        <v>3477</v>
      </c>
      <c r="C168" t="s">
        <v>3476</v>
      </c>
      <c r="D168">
        <v>2023</v>
      </c>
      <c r="E168">
        <v>12</v>
      </c>
      <c r="F168">
        <v>27</v>
      </c>
      <c r="G168" s="26" t="s">
        <v>894</v>
      </c>
      <c r="H168" s="26" t="s">
        <v>4348</v>
      </c>
      <c r="I168" s="22">
        <v>343</v>
      </c>
      <c r="J168">
        <v>328</v>
      </c>
      <c r="K168">
        <v>15</v>
      </c>
      <c r="L168" s="28">
        <v>26.52</v>
      </c>
      <c r="M168" s="29">
        <v>0.410812</v>
      </c>
      <c r="N168" s="30">
        <f t="shared" si="4"/>
        <v>64.5550762879371</v>
      </c>
      <c r="O168" s="26" t="s">
        <v>179</v>
      </c>
    </row>
    <row r="169" spans="1:15">
      <c r="A169">
        <f t="shared" si="5"/>
        <v>1</v>
      </c>
      <c r="B169" s="27" t="s">
        <v>3495</v>
      </c>
      <c r="C169" t="s">
        <v>3494</v>
      </c>
      <c r="D169">
        <v>2023</v>
      </c>
      <c r="E169">
        <v>12</v>
      </c>
      <c r="F169">
        <v>27</v>
      </c>
      <c r="G169" s="26" t="s">
        <v>1076</v>
      </c>
      <c r="H169" s="26" t="s">
        <v>4352</v>
      </c>
      <c r="I169" s="22">
        <v>209</v>
      </c>
      <c r="J169">
        <v>194</v>
      </c>
      <c r="K169">
        <v>15</v>
      </c>
      <c r="L169" s="28">
        <v>11.81</v>
      </c>
      <c r="M169" s="29">
        <v>0.410812</v>
      </c>
      <c r="N169" s="30">
        <f t="shared" si="4"/>
        <v>28.7479430980595</v>
      </c>
      <c r="O169" s="26" t="s">
        <v>179</v>
      </c>
    </row>
    <row r="170" spans="1:15">
      <c r="A170">
        <f t="shared" si="5"/>
        <v>1</v>
      </c>
      <c r="B170" s="27" t="s">
        <v>3522</v>
      </c>
      <c r="C170" t="s">
        <v>3521</v>
      </c>
      <c r="D170">
        <v>2023</v>
      </c>
      <c r="E170">
        <v>12</v>
      </c>
      <c r="F170">
        <v>27</v>
      </c>
      <c r="G170" s="26" t="s">
        <v>335</v>
      </c>
      <c r="H170" s="26" t="s">
        <v>4353</v>
      </c>
      <c r="I170" s="22">
        <v>383</v>
      </c>
      <c r="J170">
        <v>368</v>
      </c>
      <c r="K170">
        <v>15</v>
      </c>
      <c r="L170" s="28">
        <v>35.58</v>
      </c>
      <c r="M170" s="29">
        <v>0.410812</v>
      </c>
      <c r="N170" s="30">
        <f t="shared" si="4"/>
        <v>86.6089598161689</v>
      </c>
      <c r="O170" s="26" t="s">
        <v>179</v>
      </c>
    </row>
    <row r="171" spans="1:15">
      <c r="A171">
        <f t="shared" si="5"/>
        <v>1</v>
      </c>
      <c r="B171" s="27" t="s">
        <v>3544</v>
      </c>
      <c r="C171" t="s">
        <v>3543</v>
      </c>
      <c r="D171">
        <v>2023</v>
      </c>
      <c r="E171">
        <v>12</v>
      </c>
      <c r="F171">
        <v>28</v>
      </c>
      <c r="G171" s="26" t="s">
        <v>210</v>
      </c>
      <c r="H171" s="26" t="s">
        <v>4354</v>
      </c>
      <c r="I171" s="22">
        <v>515</v>
      </c>
      <c r="J171">
        <v>500</v>
      </c>
      <c r="K171">
        <v>15</v>
      </c>
      <c r="L171" s="28">
        <v>45.31</v>
      </c>
      <c r="M171" s="29">
        <v>0.410812</v>
      </c>
      <c r="N171" s="30">
        <f t="shared" si="4"/>
        <v>110.293759675959</v>
      </c>
      <c r="O171" s="26" t="s">
        <v>179</v>
      </c>
    </row>
    <row r="172" spans="1:15">
      <c r="A172">
        <f t="shared" si="5"/>
        <v>1</v>
      </c>
      <c r="B172" s="27" t="s">
        <v>3567</v>
      </c>
      <c r="C172" t="s">
        <v>3566</v>
      </c>
      <c r="D172">
        <v>2023</v>
      </c>
      <c r="E172">
        <v>12</v>
      </c>
      <c r="F172">
        <v>28</v>
      </c>
      <c r="G172" s="26" t="s">
        <v>620</v>
      </c>
      <c r="H172" s="26" t="s">
        <v>4355</v>
      </c>
      <c r="I172" s="22">
        <v>1193</v>
      </c>
      <c r="J172">
        <v>1178</v>
      </c>
      <c r="K172">
        <v>15</v>
      </c>
      <c r="L172" s="28">
        <v>84.48</v>
      </c>
      <c r="M172" s="29">
        <v>0.410812</v>
      </c>
      <c r="N172" s="30">
        <f t="shared" si="4"/>
        <v>205.641509985103</v>
      </c>
      <c r="O172" s="26" t="s">
        <v>179</v>
      </c>
    </row>
    <row r="173" spans="1:15">
      <c r="A173">
        <f t="shared" si="5"/>
        <v>1</v>
      </c>
      <c r="B173" s="27" t="s">
        <v>3593</v>
      </c>
      <c r="C173" t="s">
        <v>3592</v>
      </c>
      <c r="D173">
        <v>2023</v>
      </c>
      <c r="E173">
        <v>12</v>
      </c>
      <c r="F173">
        <v>29</v>
      </c>
      <c r="G173" s="26" t="s">
        <v>765</v>
      </c>
      <c r="H173" s="26" t="s">
        <v>4356</v>
      </c>
      <c r="I173" s="22">
        <v>788</v>
      </c>
      <c r="J173">
        <v>379</v>
      </c>
      <c r="K173">
        <v>15</v>
      </c>
      <c r="L173" s="28">
        <v>44.04</v>
      </c>
      <c r="M173" s="29">
        <v>0.410812</v>
      </c>
      <c r="N173" s="30">
        <f t="shared" si="4"/>
        <v>107.202321256438</v>
      </c>
      <c r="O173" s="26" t="s">
        <v>179</v>
      </c>
    </row>
    <row r="174" spans="1:15">
      <c r="A174">
        <f t="shared" si="5"/>
        <v>0</v>
      </c>
      <c r="B174" s="27"/>
      <c r="C174" t="s">
        <v>3592</v>
      </c>
      <c r="D174">
        <v>2023</v>
      </c>
      <c r="E174">
        <v>12</v>
      </c>
      <c r="F174">
        <v>29</v>
      </c>
      <c r="G174" s="26" t="s">
        <v>765</v>
      </c>
      <c r="H174" s="26" t="s">
        <v>4356</v>
      </c>
      <c r="J174">
        <v>379</v>
      </c>
      <c r="K174">
        <v>15</v>
      </c>
      <c r="L174" s="28">
        <v>44.04</v>
      </c>
      <c r="M174" s="29">
        <v>0.410812</v>
      </c>
      <c r="N174" s="30">
        <f t="shared" si="4"/>
        <v>107.202321256438</v>
      </c>
      <c r="O174" s="26" t="s">
        <v>179</v>
      </c>
    </row>
    <row r="175" spans="1:15">
      <c r="A175">
        <f t="shared" si="5"/>
        <v>1</v>
      </c>
      <c r="B175" s="27" t="s">
        <v>3617</v>
      </c>
      <c r="C175" t="s">
        <v>3616</v>
      </c>
      <c r="D175">
        <v>2023</v>
      </c>
      <c r="E175">
        <v>12</v>
      </c>
      <c r="F175">
        <v>29</v>
      </c>
      <c r="G175" s="26" t="s">
        <v>549</v>
      </c>
      <c r="H175" s="26" t="s">
        <v>4260</v>
      </c>
      <c r="I175" s="22">
        <v>1672</v>
      </c>
      <c r="J175">
        <v>404</v>
      </c>
      <c r="K175">
        <v>10</v>
      </c>
      <c r="L175" s="28">
        <v>31.12</v>
      </c>
      <c r="M175" s="29">
        <v>0.410812</v>
      </c>
      <c r="N175" s="30">
        <f t="shared" si="4"/>
        <v>75.7524122956486</v>
      </c>
      <c r="O175" s="26" t="s">
        <v>3628</v>
      </c>
    </row>
    <row r="176" spans="1:15">
      <c r="A176">
        <f t="shared" si="5"/>
        <v>0</v>
      </c>
      <c r="B176" s="27"/>
      <c r="C176" t="s">
        <v>3616</v>
      </c>
      <c r="D176">
        <v>2023</v>
      </c>
      <c r="E176">
        <v>12</v>
      </c>
      <c r="F176">
        <v>29</v>
      </c>
      <c r="G176" s="26" t="s">
        <v>707</v>
      </c>
      <c r="H176" s="26" t="s">
        <v>4357</v>
      </c>
      <c r="J176">
        <v>732</v>
      </c>
      <c r="K176">
        <v>10</v>
      </c>
      <c r="L176" s="28">
        <v>83.12</v>
      </c>
      <c r="M176" s="29">
        <v>0.410812</v>
      </c>
      <c r="N176" s="30">
        <f t="shared" si="4"/>
        <v>202.330993252388</v>
      </c>
      <c r="O176" s="26" t="s">
        <v>3628</v>
      </c>
    </row>
    <row r="177" spans="1:15">
      <c r="A177">
        <f t="shared" si="5"/>
        <v>0</v>
      </c>
      <c r="B177" s="27"/>
      <c r="C177" t="s">
        <v>3616</v>
      </c>
      <c r="D177">
        <v>2023</v>
      </c>
      <c r="E177">
        <v>12</v>
      </c>
      <c r="F177">
        <v>29</v>
      </c>
      <c r="G177" s="26" t="s">
        <v>707</v>
      </c>
      <c r="H177" s="26" t="s">
        <v>4358</v>
      </c>
      <c r="J177">
        <v>491</v>
      </c>
      <c r="K177">
        <v>10</v>
      </c>
      <c r="L177" s="28">
        <v>62.87</v>
      </c>
      <c r="M177" s="29">
        <v>0.410812</v>
      </c>
      <c r="N177" s="30">
        <f t="shared" si="4"/>
        <v>153.038372783658</v>
      </c>
      <c r="O177" s="26" t="s">
        <v>3628</v>
      </c>
    </row>
    <row r="178" spans="1:15">
      <c r="A178">
        <f t="shared" si="5"/>
        <v>1</v>
      </c>
      <c r="B178" s="27" t="s">
        <v>3654</v>
      </c>
      <c r="C178" t="s">
        <v>3653</v>
      </c>
      <c r="D178">
        <v>2023</v>
      </c>
      <c r="E178">
        <v>12</v>
      </c>
      <c r="F178">
        <v>29</v>
      </c>
      <c r="G178" s="26" t="s">
        <v>549</v>
      </c>
      <c r="H178" s="26" t="s">
        <v>4260</v>
      </c>
      <c r="I178" s="22">
        <v>919.75</v>
      </c>
      <c r="J178">
        <v>404</v>
      </c>
      <c r="K178">
        <v>15</v>
      </c>
      <c r="L178" s="28">
        <v>33.41</v>
      </c>
      <c r="M178" s="29">
        <v>0.410812</v>
      </c>
      <c r="N178" s="30">
        <f t="shared" si="4"/>
        <v>81.326738264705</v>
      </c>
      <c r="O178" s="26" t="s">
        <v>179</v>
      </c>
    </row>
    <row r="179" spans="1:15">
      <c r="A179">
        <f t="shared" si="5"/>
        <v>0</v>
      </c>
      <c r="B179" s="27"/>
      <c r="C179" t="s">
        <v>3653</v>
      </c>
      <c r="D179">
        <v>2023</v>
      </c>
      <c r="E179">
        <v>12</v>
      </c>
      <c r="F179">
        <v>29</v>
      </c>
      <c r="G179" s="26" t="s">
        <v>707</v>
      </c>
      <c r="H179" s="26" t="s">
        <v>4358</v>
      </c>
      <c r="J179">
        <v>491</v>
      </c>
      <c r="K179">
        <v>15</v>
      </c>
      <c r="L179" s="28">
        <v>60.14</v>
      </c>
      <c r="M179" s="29">
        <v>0.410812</v>
      </c>
      <c r="N179" s="30">
        <f t="shared" si="4"/>
        <v>146.392997283429</v>
      </c>
      <c r="O179" s="26" t="s">
        <v>179</v>
      </c>
    </row>
    <row r="180" spans="1:15">
      <c r="A180">
        <f t="shared" si="5"/>
        <v>1</v>
      </c>
      <c r="B180" s="27" t="s">
        <v>3668</v>
      </c>
      <c r="C180" t="s">
        <v>3667</v>
      </c>
      <c r="D180">
        <v>2023</v>
      </c>
      <c r="E180">
        <v>12</v>
      </c>
      <c r="F180">
        <v>29</v>
      </c>
      <c r="G180" s="26" t="s">
        <v>707</v>
      </c>
      <c r="H180" s="26" t="s">
        <v>4357</v>
      </c>
      <c r="I180" s="22">
        <v>752.25</v>
      </c>
      <c r="J180">
        <v>732</v>
      </c>
      <c r="K180">
        <v>15</v>
      </c>
      <c r="L180" s="28">
        <v>63.69</v>
      </c>
      <c r="M180" s="29">
        <v>0.410812</v>
      </c>
      <c r="N180" s="30">
        <f t="shared" si="4"/>
        <v>155.034419637206</v>
      </c>
      <c r="O180" s="26" t="s">
        <v>2335</v>
      </c>
    </row>
    <row r="181" spans="1:15">
      <c r="A181">
        <f t="shared" si="5"/>
        <v>1</v>
      </c>
      <c r="B181" s="27" t="s">
        <v>3675</v>
      </c>
      <c r="C181" t="s">
        <v>3674</v>
      </c>
      <c r="D181">
        <v>2023</v>
      </c>
      <c r="E181">
        <v>12</v>
      </c>
      <c r="F181">
        <v>30</v>
      </c>
      <c r="G181" s="26" t="s">
        <v>1076</v>
      </c>
      <c r="H181" s="26" t="s">
        <v>4257</v>
      </c>
      <c r="I181" s="22">
        <v>257</v>
      </c>
      <c r="J181">
        <v>242</v>
      </c>
      <c r="K181">
        <v>15</v>
      </c>
      <c r="L181" s="28">
        <v>5.45</v>
      </c>
      <c r="M181" s="29">
        <v>0.410812</v>
      </c>
      <c r="N181" s="30">
        <f t="shared" si="4"/>
        <v>13.2664089656583</v>
      </c>
      <c r="O181" s="26" t="s">
        <v>179</v>
      </c>
    </row>
    <row r="182" spans="1:15">
      <c r="A182">
        <f t="shared" si="5"/>
        <v>1</v>
      </c>
      <c r="B182" s="27" t="s">
        <v>3695</v>
      </c>
      <c r="C182" t="s">
        <v>3694</v>
      </c>
      <c r="D182">
        <v>2023</v>
      </c>
      <c r="E182">
        <v>12</v>
      </c>
      <c r="F182">
        <v>30</v>
      </c>
      <c r="G182" s="26" t="s">
        <v>3693</v>
      </c>
      <c r="H182" s="26" t="s">
        <v>4359</v>
      </c>
      <c r="I182" s="22">
        <v>1067</v>
      </c>
      <c r="J182">
        <v>321</v>
      </c>
      <c r="K182">
        <v>15</v>
      </c>
      <c r="L182" s="28">
        <v>30.66</v>
      </c>
      <c r="M182" s="29">
        <v>0.410812</v>
      </c>
      <c r="N182" s="30">
        <f t="shared" si="4"/>
        <v>74.6326786948775</v>
      </c>
      <c r="O182" s="26" t="s">
        <v>179</v>
      </c>
    </row>
    <row r="183" spans="1:15">
      <c r="A183">
        <f t="shared" si="5"/>
        <v>0</v>
      </c>
      <c r="B183" s="27"/>
      <c r="C183" t="s">
        <v>3694</v>
      </c>
      <c r="D183">
        <v>2023</v>
      </c>
      <c r="E183">
        <v>12</v>
      </c>
      <c r="F183">
        <v>30</v>
      </c>
      <c r="G183" s="26" t="s">
        <v>3693</v>
      </c>
      <c r="H183" s="26" t="s">
        <v>4360</v>
      </c>
      <c r="J183">
        <v>313</v>
      </c>
      <c r="K183">
        <v>15</v>
      </c>
      <c r="L183" s="28">
        <v>30.75</v>
      </c>
      <c r="M183" s="29">
        <v>0.410812</v>
      </c>
      <c r="N183" s="30">
        <f t="shared" si="4"/>
        <v>74.8517570080718</v>
      </c>
      <c r="O183" s="26" t="s">
        <v>179</v>
      </c>
    </row>
    <row r="184" spans="1:15">
      <c r="A184">
        <f t="shared" si="5"/>
        <v>0</v>
      </c>
      <c r="B184" s="27"/>
      <c r="C184" t="s">
        <v>3694</v>
      </c>
      <c r="D184">
        <v>2023</v>
      </c>
      <c r="E184">
        <v>12</v>
      </c>
      <c r="F184">
        <v>30</v>
      </c>
      <c r="G184" s="26" t="s">
        <v>3346</v>
      </c>
      <c r="H184" s="26" t="s">
        <v>4361</v>
      </c>
      <c r="J184">
        <v>388</v>
      </c>
      <c r="K184">
        <v>15</v>
      </c>
      <c r="L184" s="28">
        <v>68.07</v>
      </c>
      <c r="M184" s="29">
        <v>0.410812</v>
      </c>
      <c r="N184" s="30">
        <f t="shared" si="4"/>
        <v>165.696230879332</v>
      </c>
      <c r="O184" s="26" t="s">
        <v>179</v>
      </c>
    </row>
    <row r="185" spans="1:15">
      <c r="A185">
        <f t="shared" si="5"/>
        <v>1</v>
      </c>
      <c r="B185" s="27" t="s">
        <v>3740</v>
      </c>
      <c r="C185" t="s">
        <v>3739</v>
      </c>
      <c r="D185">
        <v>2023</v>
      </c>
      <c r="E185">
        <v>12</v>
      </c>
      <c r="F185">
        <v>30</v>
      </c>
      <c r="G185" s="26" t="s">
        <v>2426</v>
      </c>
      <c r="H185" s="26" t="s">
        <v>4362</v>
      </c>
      <c r="I185" s="22">
        <v>334</v>
      </c>
      <c r="J185">
        <v>319</v>
      </c>
      <c r="K185">
        <v>15</v>
      </c>
      <c r="L185" s="28">
        <v>24.51</v>
      </c>
      <c r="M185" s="29">
        <v>0.410812</v>
      </c>
      <c r="N185" s="30">
        <f t="shared" si="4"/>
        <v>59.6623272932631</v>
      </c>
      <c r="O185" s="26" t="s">
        <v>179</v>
      </c>
    </row>
    <row r="186" spans="1:15">
      <c r="A186">
        <f t="shared" si="5"/>
        <v>1</v>
      </c>
      <c r="B186" s="27" t="s">
        <v>3763</v>
      </c>
      <c r="C186" t="s">
        <v>3762</v>
      </c>
      <c r="D186">
        <v>2023</v>
      </c>
      <c r="E186">
        <v>12</v>
      </c>
      <c r="F186">
        <v>31</v>
      </c>
      <c r="G186" s="26" t="s">
        <v>2011</v>
      </c>
      <c r="H186" s="26" t="s">
        <v>4363</v>
      </c>
      <c r="I186" s="22">
        <v>1160</v>
      </c>
      <c r="J186">
        <v>565</v>
      </c>
      <c r="K186">
        <v>0</v>
      </c>
      <c r="L186" s="28">
        <v>55.19</v>
      </c>
      <c r="M186" s="29">
        <v>0.410812</v>
      </c>
      <c r="N186" s="30">
        <f t="shared" si="4"/>
        <v>134.343690057739</v>
      </c>
      <c r="O186" s="26" t="s">
        <v>2335</v>
      </c>
    </row>
    <row r="187" spans="1:15">
      <c r="A187">
        <f t="shared" si="5"/>
        <v>0</v>
      </c>
      <c r="B187" s="27"/>
      <c r="C187" t="s">
        <v>3762</v>
      </c>
      <c r="D187">
        <v>2023</v>
      </c>
      <c r="E187">
        <v>12</v>
      </c>
      <c r="F187">
        <v>31</v>
      </c>
      <c r="G187" s="26" t="s">
        <v>2011</v>
      </c>
      <c r="H187" s="26" t="s">
        <v>4363</v>
      </c>
      <c r="J187">
        <v>565</v>
      </c>
      <c r="K187">
        <v>0</v>
      </c>
      <c r="L187" s="28">
        <v>55.19</v>
      </c>
      <c r="M187" s="29">
        <v>0.410812</v>
      </c>
      <c r="N187" s="30">
        <f t="shared" si="4"/>
        <v>134.343690057739</v>
      </c>
      <c r="O187" s="26" t="s">
        <v>2335</v>
      </c>
    </row>
    <row r="188" spans="1:15">
      <c r="A188">
        <f t="shared" si="5"/>
        <v>1</v>
      </c>
      <c r="B188" s="27" t="s">
        <v>3786</v>
      </c>
      <c r="C188" t="s">
        <v>3785</v>
      </c>
      <c r="D188">
        <v>2024</v>
      </c>
      <c r="E188">
        <v>1</v>
      </c>
      <c r="F188">
        <v>1</v>
      </c>
      <c r="G188" s="26" t="s">
        <v>313</v>
      </c>
      <c r="H188" s="26" t="s">
        <v>4239</v>
      </c>
      <c r="I188" s="22">
        <v>314</v>
      </c>
      <c r="J188">
        <v>299</v>
      </c>
      <c r="K188">
        <v>15</v>
      </c>
      <c r="L188" s="28">
        <v>19.97</v>
      </c>
      <c r="M188" s="29">
        <v>0.410812</v>
      </c>
      <c r="N188" s="30">
        <f t="shared" si="4"/>
        <v>48.6110434943478</v>
      </c>
      <c r="O188" s="26" t="s">
        <v>179</v>
      </c>
    </row>
    <row r="189" spans="1:15">
      <c r="A189">
        <f t="shared" si="5"/>
        <v>1</v>
      </c>
      <c r="B189" s="27" t="s">
        <v>3800</v>
      </c>
      <c r="C189" t="s">
        <v>3799</v>
      </c>
      <c r="D189">
        <v>2024</v>
      </c>
      <c r="E189">
        <v>1</v>
      </c>
      <c r="F189">
        <v>1</v>
      </c>
      <c r="G189" s="26" t="s">
        <v>245</v>
      </c>
      <c r="H189" s="26" t="s">
        <v>4364</v>
      </c>
      <c r="I189" s="22">
        <v>309</v>
      </c>
      <c r="J189">
        <v>294</v>
      </c>
      <c r="K189">
        <v>15</v>
      </c>
      <c r="L189" s="28">
        <v>8.15</v>
      </c>
      <c r="M189" s="29">
        <v>0.410812</v>
      </c>
      <c r="N189" s="30">
        <f t="shared" si="4"/>
        <v>19.838758361489</v>
      </c>
      <c r="O189" s="26" t="s">
        <v>179</v>
      </c>
    </row>
    <row r="190" spans="1:15">
      <c r="A190">
        <f t="shared" si="5"/>
        <v>1</v>
      </c>
      <c r="B190" s="27" t="s">
        <v>3824</v>
      </c>
      <c r="C190" t="s">
        <v>3823</v>
      </c>
      <c r="D190">
        <v>2024</v>
      </c>
      <c r="E190">
        <v>1</v>
      </c>
      <c r="F190">
        <v>1</v>
      </c>
      <c r="G190" s="26" t="s">
        <v>3822</v>
      </c>
      <c r="H190" s="26" t="s">
        <v>4365</v>
      </c>
      <c r="I190" s="22">
        <v>1234</v>
      </c>
      <c r="J190">
        <v>745</v>
      </c>
      <c r="K190">
        <v>15</v>
      </c>
      <c r="L190" s="28">
        <v>76.04</v>
      </c>
      <c r="M190" s="29">
        <v>0.410812</v>
      </c>
      <c r="N190" s="30">
        <f t="shared" si="4"/>
        <v>185.096832614432</v>
      </c>
      <c r="O190" s="26" t="s">
        <v>179</v>
      </c>
    </row>
    <row r="191" spans="1:15">
      <c r="A191">
        <f t="shared" si="5"/>
        <v>0</v>
      </c>
      <c r="B191" s="27"/>
      <c r="C191" t="s">
        <v>3823</v>
      </c>
      <c r="D191">
        <v>2024</v>
      </c>
      <c r="E191">
        <v>1</v>
      </c>
      <c r="F191">
        <v>1</v>
      </c>
      <c r="G191" s="26" t="s">
        <v>2402</v>
      </c>
      <c r="H191" s="26" t="s">
        <v>4366</v>
      </c>
      <c r="J191">
        <v>459</v>
      </c>
      <c r="K191">
        <v>15</v>
      </c>
      <c r="L191" s="28">
        <v>29.5</v>
      </c>
      <c r="M191" s="29">
        <v>0.410812</v>
      </c>
      <c r="N191" s="30">
        <f t="shared" si="4"/>
        <v>71.8090026581502</v>
      </c>
      <c r="O191" s="26" t="s">
        <v>179</v>
      </c>
    </row>
    <row r="192" spans="1:15">
      <c r="A192">
        <f t="shared" si="5"/>
        <v>1</v>
      </c>
      <c r="B192" s="27" t="s">
        <v>3859</v>
      </c>
      <c r="C192" t="s">
        <v>3858</v>
      </c>
      <c r="D192">
        <v>2024</v>
      </c>
      <c r="E192">
        <v>1</v>
      </c>
      <c r="F192">
        <v>1</v>
      </c>
      <c r="G192" s="26" t="s">
        <v>210</v>
      </c>
      <c r="H192" s="26" t="s">
        <v>4225</v>
      </c>
      <c r="I192" s="22">
        <v>704</v>
      </c>
      <c r="J192">
        <v>689</v>
      </c>
      <c r="K192">
        <v>15</v>
      </c>
      <c r="L192" s="28">
        <v>64.16</v>
      </c>
      <c r="M192" s="29">
        <v>0.410812</v>
      </c>
      <c r="N192" s="30">
        <f t="shared" si="4"/>
        <v>156.178495272777</v>
      </c>
      <c r="O192" s="26" t="s">
        <v>179</v>
      </c>
    </row>
    <row r="193" spans="1:15">
      <c r="A193">
        <f t="shared" si="5"/>
        <v>1</v>
      </c>
      <c r="B193" s="27" t="s">
        <v>3878</v>
      </c>
      <c r="C193" t="s">
        <v>3877</v>
      </c>
      <c r="D193">
        <v>2024</v>
      </c>
      <c r="E193">
        <v>1</v>
      </c>
      <c r="F193">
        <v>2</v>
      </c>
      <c r="G193" s="26" t="s">
        <v>366</v>
      </c>
      <c r="H193" s="26" t="s">
        <v>4367</v>
      </c>
      <c r="I193" s="22">
        <v>937</v>
      </c>
      <c r="J193">
        <v>922</v>
      </c>
      <c r="K193">
        <v>15</v>
      </c>
      <c r="L193" s="28">
        <v>69.7</v>
      </c>
      <c r="M193" s="29">
        <v>0.410812</v>
      </c>
      <c r="N193" s="30">
        <f t="shared" si="4"/>
        <v>169.663982551629</v>
      </c>
      <c r="O193" s="26" t="s">
        <v>3890</v>
      </c>
    </row>
    <row r="194" spans="1:15">
      <c r="A194">
        <f t="shared" si="5"/>
        <v>1</v>
      </c>
      <c r="B194" s="27" t="s">
        <v>3899</v>
      </c>
      <c r="C194" t="s">
        <v>3898</v>
      </c>
      <c r="D194">
        <v>2024</v>
      </c>
      <c r="E194">
        <v>1</v>
      </c>
      <c r="F194">
        <v>3</v>
      </c>
      <c r="G194" s="26" t="s">
        <v>1884</v>
      </c>
      <c r="H194" s="26" t="s">
        <v>4368</v>
      </c>
      <c r="I194" s="22">
        <v>203</v>
      </c>
      <c r="J194">
        <v>188</v>
      </c>
      <c r="K194">
        <v>15</v>
      </c>
      <c r="L194" s="28">
        <v>20.26</v>
      </c>
      <c r="M194" s="29">
        <v>0.410812</v>
      </c>
      <c r="N194" s="30">
        <f t="shared" si="4"/>
        <v>49.3169625035296</v>
      </c>
      <c r="O194" s="26" t="s">
        <v>3890</v>
      </c>
    </row>
    <row r="195" spans="1:15">
      <c r="A195">
        <f t="shared" si="5"/>
        <v>1</v>
      </c>
      <c r="B195" s="27" t="s">
        <v>3919</v>
      </c>
      <c r="C195" t="s">
        <v>3918</v>
      </c>
      <c r="D195">
        <v>2024</v>
      </c>
      <c r="E195">
        <v>1</v>
      </c>
      <c r="F195">
        <v>3</v>
      </c>
      <c r="G195" s="26" t="s">
        <v>3263</v>
      </c>
      <c r="H195" s="26" t="s">
        <v>4369</v>
      </c>
      <c r="I195" s="22">
        <v>204</v>
      </c>
      <c r="J195">
        <v>189</v>
      </c>
      <c r="K195">
        <v>15</v>
      </c>
      <c r="L195" s="28">
        <v>26.38</v>
      </c>
      <c r="M195" s="29">
        <v>0.410812</v>
      </c>
      <c r="N195" s="30">
        <f t="shared" ref="N195:N212" si="6">L195/M195</f>
        <v>64.2142878007458</v>
      </c>
      <c r="O195" s="26" t="s">
        <v>179</v>
      </c>
    </row>
    <row r="196" spans="1:15">
      <c r="A196">
        <f t="shared" ref="A196:A212" si="7">COUNTA(B196)</f>
        <v>1</v>
      </c>
      <c r="B196" s="27" t="s">
        <v>3941</v>
      </c>
      <c r="C196" t="s">
        <v>3940</v>
      </c>
      <c r="D196">
        <v>2024</v>
      </c>
      <c r="E196">
        <v>1</v>
      </c>
      <c r="F196">
        <v>3</v>
      </c>
      <c r="G196" s="26" t="s">
        <v>1109</v>
      </c>
      <c r="H196" s="26" t="s">
        <v>4319</v>
      </c>
      <c r="I196" s="22">
        <v>785</v>
      </c>
      <c r="J196">
        <v>770</v>
      </c>
      <c r="K196">
        <v>15</v>
      </c>
      <c r="L196" s="28">
        <v>46.93</v>
      </c>
      <c r="M196" s="29">
        <v>0.410812</v>
      </c>
      <c r="N196" s="30">
        <f t="shared" si="6"/>
        <v>114.237169313457</v>
      </c>
      <c r="O196" s="26" t="s">
        <v>3890</v>
      </c>
    </row>
    <row r="197" spans="1:15">
      <c r="A197">
        <f t="shared" si="7"/>
        <v>1</v>
      </c>
      <c r="B197" s="27" t="s">
        <v>3958</v>
      </c>
      <c r="C197" t="s">
        <v>3957</v>
      </c>
      <c r="D197">
        <v>2024</v>
      </c>
      <c r="E197">
        <v>1</v>
      </c>
      <c r="F197">
        <v>4</v>
      </c>
      <c r="G197" s="26" t="s">
        <v>517</v>
      </c>
      <c r="H197" s="26" t="s">
        <v>4370</v>
      </c>
      <c r="I197" s="22">
        <v>498</v>
      </c>
      <c r="J197">
        <v>483</v>
      </c>
      <c r="K197">
        <v>0</v>
      </c>
      <c r="L197" s="28">
        <v>45.04</v>
      </c>
      <c r="M197" s="29">
        <v>0.410812</v>
      </c>
      <c r="N197" s="30">
        <f t="shared" si="6"/>
        <v>109.636524736376</v>
      </c>
      <c r="O197" s="26" t="s">
        <v>2335</v>
      </c>
    </row>
    <row r="198" spans="1:15">
      <c r="A198">
        <f t="shared" si="7"/>
        <v>1</v>
      </c>
      <c r="B198" s="27" t="s">
        <v>3972</v>
      </c>
      <c r="C198" t="s">
        <v>3971</v>
      </c>
      <c r="D198">
        <v>2024</v>
      </c>
      <c r="E198">
        <v>1</v>
      </c>
      <c r="F198">
        <v>4</v>
      </c>
      <c r="G198" s="26" t="s">
        <v>245</v>
      </c>
      <c r="H198" s="26" t="s">
        <v>4371</v>
      </c>
      <c r="I198" s="22">
        <v>365</v>
      </c>
      <c r="J198">
        <v>350</v>
      </c>
      <c r="K198">
        <v>15</v>
      </c>
      <c r="L198" s="28">
        <v>31.22</v>
      </c>
      <c r="M198" s="29">
        <v>0.410812</v>
      </c>
      <c r="N198" s="30">
        <f t="shared" si="6"/>
        <v>75.9958326436423</v>
      </c>
      <c r="O198" s="26" t="s">
        <v>179</v>
      </c>
    </row>
    <row r="199" spans="1:15">
      <c r="A199">
        <f t="shared" si="7"/>
        <v>1</v>
      </c>
      <c r="B199" s="27" t="s">
        <v>3993</v>
      </c>
      <c r="C199" t="s">
        <v>3992</v>
      </c>
      <c r="D199">
        <v>2024</v>
      </c>
      <c r="E199">
        <v>1</v>
      </c>
      <c r="F199">
        <v>5</v>
      </c>
      <c r="G199" s="26" t="s">
        <v>2426</v>
      </c>
      <c r="H199" s="26" t="s">
        <v>4307</v>
      </c>
      <c r="I199" s="22">
        <v>183</v>
      </c>
      <c r="J199">
        <v>168</v>
      </c>
      <c r="K199">
        <v>15</v>
      </c>
      <c r="L199" s="28">
        <v>12.37</v>
      </c>
      <c r="M199" s="29">
        <v>0.410812</v>
      </c>
      <c r="N199" s="30">
        <f t="shared" si="6"/>
        <v>30.1110970468243</v>
      </c>
      <c r="O199" s="26" t="s">
        <v>179</v>
      </c>
    </row>
    <row r="200" spans="1:15">
      <c r="A200">
        <f t="shared" si="7"/>
        <v>1</v>
      </c>
      <c r="B200" s="27" t="s">
        <v>4009</v>
      </c>
      <c r="C200" t="s">
        <v>4008</v>
      </c>
      <c r="D200">
        <v>2024</v>
      </c>
      <c r="E200">
        <v>1</v>
      </c>
      <c r="F200">
        <v>5</v>
      </c>
      <c r="G200" s="26" t="s">
        <v>2426</v>
      </c>
      <c r="H200" s="26" t="s">
        <v>4335</v>
      </c>
      <c r="I200" s="22">
        <v>164</v>
      </c>
      <c r="J200">
        <v>149</v>
      </c>
      <c r="K200">
        <v>15</v>
      </c>
      <c r="L200" s="28">
        <v>12.36</v>
      </c>
      <c r="M200" s="29">
        <v>0.410812</v>
      </c>
      <c r="N200" s="30">
        <f t="shared" si="6"/>
        <v>30.086755012025</v>
      </c>
      <c r="O200" s="26" t="s">
        <v>179</v>
      </c>
    </row>
    <row r="201" spans="1:15">
      <c r="A201">
        <f t="shared" si="7"/>
        <v>1</v>
      </c>
      <c r="B201" s="27" t="s">
        <v>4029</v>
      </c>
      <c r="C201" t="s">
        <v>4028</v>
      </c>
      <c r="D201">
        <v>2024</v>
      </c>
      <c r="E201">
        <v>1</v>
      </c>
      <c r="F201">
        <v>5</v>
      </c>
      <c r="G201" s="26" t="s">
        <v>4027</v>
      </c>
      <c r="H201" s="26" t="s">
        <v>4372</v>
      </c>
      <c r="I201" s="22">
        <v>195</v>
      </c>
      <c r="J201">
        <v>180</v>
      </c>
      <c r="K201">
        <v>15</v>
      </c>
      <c r="L201" s="28">
        <v>25.27</v>
      </c>
      <c r="M201" s="29">
        <v>0.410812</v>
      </c>
      <c r="N201" s="30">
        <f t="shared" si="6"/>
        <v>61.5123219380154</v>
      </c>
      <c r="O201" s="26" t="s">
        <v>179</v>
      </c>
    </row>
    <row r="202" spans="1:15">
      <c r="A202">
        <f t="shared" si="7"/>
        <v>1</v>
      </c>
      <c r="B202" s="27" t="s">
        <v>4050</v>
      </c>
      <c r="C202" t="s">
        <v>4049</v>
      </c>
      <c r="D202">
        <v>2024</v>
      </c>
      <c r="E202">
        <v>1</v>
      </c>
      <c r="F202">
        <v>5</v>
      </c>
      <c r="G202" s="26" t="s">
        <v>2186</v>
      </c>
      <c r="H202" s="26" t="s">
        <v>4373</v>
      </c>
      <c r="I202" s="22">
        <v>665</v>
      </c>
      <c r="J202">
        <v>197</v>
      </c>
      <c r="K202">
        <v>15</v>
      </c>
      <c r="L202" s="28">
        <v>36.37</v>
      </c>
      <c r="M202" s="29">
        <v>0.410812</v>
      </c>
      <c r="N202" s="30">
        <f t="shared" si="6"/>
        <v>88.5319805653194</v>
      </c>
      <c r="O202" s="26" t="s">
        <v>4060</v>
      </c>
    </row>
    <row r="203" spans="1:15">
      <c r="A203">
        <f t="shared" si="7"/>
        <v>0</v>
      </c>
      <c r="B203" s="27"/>
      <c r="C203" t="s">
        <v>4049</v>
      </c>
      <c r="D203">
        <v>2024</v>
      </c>
      <c r="E203">
        <v>1</v>
      </c>
      <c r="F203">
        <v>5</v>
      </c>
      <c r="G203" s="26" t="s">
        <v>2426</v>
      </c>
      <c r="H203" s="26" t="s">
        <v>4374</v>
      </c>
      <c r="J203">
        <v>157</v>
      </c>
      <c r="K203">
        <v>15</v>
      </c>
      <c r="L203" s="28">
        <v>26.28</v>
      </c>
      <c r="M203" s="29">
        <v>0.410812</v>
      </c>
      <c r="N203" s="30">
        <f t="shared" si="6"/>
        <v>63.9708674527521</v>
      </c>
      <c r="O203" s="26" t="s">
        <v>4060</v>
      </c>
    </row>
    <row r="204" spans="1:15">
      <c r="A204">
        <f t="shared" si="7"/>
        <v>0</v>
      </c>
      <c r="B204" s="27"/>
      <c r="C204" t="s">
        <v>4049</v>
      </c>
      <c r="D204">
        <v>2024</v>
      </c>
      <c r="E204">
        <v>1</v>
      </c>
      <c r="F204">
        <v>5</v>
      </c>
      <c r="G204" s="26" t="s">
        <v>2426</v>
      </c>
      <c r="H204" s="26" t="s">
        <v>4375</v>
      </c>
      <c r="J204">
        <v>266</v>
      </c>
      <c r="K204">
        <v>15</v>
      </c>
      <c r="L204" s="28">
        <v>44.3</v>
      </c>
      <c r="M204" s="29">
        <v>0.410812</v>
      </c>
      <c r="N204" s="30">
        <f t="shared" si="6"/>
        <v>107.835214161222</v>
      </c>
      <c r="O204" s="26" t="s">
        <v>4060</v>
      </c>
    </row>
    <row r="205" spans="1:15">
      <c r="A205">
        <f t="shared" si="7"/>
        <v>1</v>
      </c>
      <c r="B205" s="27" t="s">
        <v>4087</v>
      </c>
      <c r="C205" t="s">
        <v>4086</v>
      </c>
      <c r="D205">
        <v>2024</v>
      </c>
      <c r="E205">
        <v>1</v>
      </c>
      <c r="F205">
        <v>6</v>
      </c>
      <c r="G205" s="26" t="s">
        <v>2426</v>
      </c>
      <c r="H205" s="26" t="s">
        <v>4307</v>
      </c>
      <c r="I205" s="22">
        <v>183</v>
      </c>
      <c r="J205">
        <v>168</v>
      </c>
      <c r="K205">
        <v>15</v>
      </c>
      <c r="L205" s="28">
        <v>12.2</v>
      </c>
      <c r="M205" s="29">
        <v>0.410812</v>
      </c>
      <c r="N205" s="30">
        <f t="shared" si="6"/>
        <v>29.697282455235</v>
      </c>
      <c r="O205" s="26" t="s">
        <v>179</v>
      </c>
    </row>
    <row r="206" spans="1:15">
      <c r="A206">
        <f t="shared" si="7"/>
        <v>1</v>
      </c>
      <c r="B206" s="27" t="s">
        <v>4101</v>
      </c>
      <c r="C206" t="s">
        <v>4100</v>
      </c>
      <c r="D206">
        <v>2024</v>
      </c>
      <c r="E206">
        <v>1</v>
      </c>
      <c r="F206">
        <v>7</v>
      </c>
      <c r="G206" s="26" t="s">
        <v>3693</v>
      </c>
      <c r="H206" s="26" t="s">
        <v>4360</v>
      </c>
      <c r="I206" s="22">
        <v>325</v>
      </c>
      <c r="J206">
        <v>310</v>
      </c>
      <c r="K206">
        <v>15</v>
      </c>
      <c r="L206" s="28">
        <v>17.55</v>
      </c>
      <c r="M206" s="29">
        <v>0.410812</v>
      </c>
      <c r="N206" s="30">
        <f t="shared" si="6"/>
        <v>42.7202710728995</v>
      </c>
      <c r="O206" s="26" t="s">
        <v>179</v>
      </c>
    </row>
    <row r="207" spans="1:15">
      <c r="A207">
        <f t="shared" si="7"/>
        <v>1</v>
      </c>
      <c r="B207" s="27" t="s">
        <v>4124</v>
      </c>
      <c r="C207" t="s">
        <v>4123</v>
      </c>
      <c r="D207">
        <v>2024</v>
      </c>
      <c r="E207">
        <v>1</v>
      </c>
      <c r="F207">
        <v>7</v>
      </c>
      <c r="G207" s="26" t="s">
        <v>2426</v>
      </c>
      <c r="H207" s="26" t="s">
        <v>4125</v>
      </c>
      <c r="I207" s="22">
        <v>202</v>
      </c>
      <c r="J207">
        <v>187</v>
      </c>
      <c r="K207">
        <v>15</v>
      </c>
      <c r="L207" s="28">
        <v>14.58</v>
      </c>
      <c r="M207" s="29">
        <v>0.410812</v>
      </c>
      <c r="N207" s="30">
        <f t="shared" si="6"/>
        <v>35.4906867374858</v>
      </c>
      <c r="O207" s="26" t="s">
        <v>179</v>
      </c>
    </row>
    <row r="208" spans="1:15">
      <c r="A208">
        <f t="shared" si="7"/>
        <v>1</v>
      </c>
      <c r="B208" s="27" t="s">
        <v>4148</v>
      </c>
      <c r="C208" t="s">
        <v>4147</v>
      </c>
      <c r="D208">
        <v>2024</v>
      </c>
      <c r="E208">
        <v>1</v>
      </c>
      <c r="F208">
        <v>7</v>
      </c>
      <c r="G208" s="26" t="s">
        <v>3263</v>
      </c>
      <c r="H208" s="26" t="s">
        <v>4376</v>
      </c>
      <c r="I208" s="22">
        <v>546</v>
      </c>
      <c r="J208">
        <v>173</v>
      </c>
      <c r="K208">
        <v>15</v>
      </c>
      <c r="L208" s="28">
        <v>29.31</v>
      </c>
      <c r="M208" s="29">
        <v>0.410812</v>
      </c>
      <c r="N208" s="30">
        <f t="shared" si="6"/>
        <v>71.3465039969621</v>
      </c>
      <c r="O208" s="26" t="s">
        <v>4158</v>
      </c>
    </row>
    <row r="209" spans="1:15">
      <c r="A209">
        <f t="shared" si="7"/>
        <v>0</v>
      </c>
      <c r="B209" s="27"/>
      <c r="C209" t="s">
        <v>4147</v>
      </c>
      <c r="D209">
        <v>2024</v>
      </c>
      <c r="E209">
        <v>1</v>
      </c>
      <c r="F209">
        <v>7</v>
      </c>
      <c r="G209" s="26" t="s">
        <v>3263</v>
      </c>
      <c r="H209" s="26" t="s">
        <v>4376</v>
      </c>
      <c r="J209">
        <v>179</v>
      </c>
      <c r="K209">
        <v>15</v>
      </c>
      <c r="L209" s="28">
        <v>28.06</v>
      </c>
      <c r="M209" s="29">
        <v>0.410812</v>
      </c>
      <c r="N209" s="30">
        <f t="shared" si="6"/>
        <v>68.3037496470405</v>
      </c>
      <c r="O209" s="26" t="s">
        <v>4158</v>
      </c>
    </row>
    <row r="210" spans="1:15">
      <c r="A210">
        <f t="shared" si="7"/>
        <v>0</v>
      </c>
      <c r="B210" s="27"/>
      <c r="C210" t="s">
        <v>4147</v>
      </c>
      <c r="D210">
        <v>2024</v>
      </c>
      <c r="E210">
        <v>1</v>
      </c>
      <c r="F210">
        <v>7</v>
      </c>
      <c r="G210" s="26" t="s">
        <v>3263</v>
      </c>
      <c r="H210" s="26" t="s">
        <v>4377</v>
      </c>
      <c r="J210">
        <v>149</v>
      </c>
      <c r="K210">
        <v>15</v>
      </c>
      <c r="L210" s="28">
        <v>30.8</v>
      </c>
      <c r="M210" s="29">
        <v>0.410812</v>
      </c>
      <c r="N210" s="30">
        <f t="shared" si="6"/>
        <v>74.9734671820687</v>
      </c>
      <c r="O210" s="26" t="s">
        <v>4158</v>
      </c>
    </row>
    <row r="211" spans="1:15">
      <c r="A211">
        <f t="shared" si="7"/>
        <v>1</v>
      </c>
      <c r="B211" s="27" t="s">
        <v>4182</v>
      </c>
      <c r="C211" t="s">
        <v>4181</v>
      </c>
      <c r="D211">
        <v>2024</v>
      </c>
      <c r="E211">
        <v>1</v>
      </c>
      <c r="F211">
        <v>8</v>
      </c>
      <c r="G211" s="26" t="s">
        <v>3263</v>
      </c>
      <c r="H211" s="26" t="s">
        <v>4378</v>
      </c>
      <c r="I211" s="22">
        <v>140</v>
      </c>
      <c r="J211">
        <v>125</v>
      </c>
      <c r="K211">
        <v>15</v>
      </c>
      <c r="L211" s="28">
        <v>9.27</v>
      </c>
      <c r="M211" s="29">
        <v>0.410812</v>
      </c>
      <c r="N211" s="30">
        <f t="shared" si="6"/>
        <v>22.5650662590187</v>
      </c>
      <c r="O211" s="26" t="s">
        <v>3890</v>
      </c>
    </row>
    <row r="212" spans="1:15">
      <c r="A212">
        <f t="shared" si="7"/>
        <v>1</v>
      </c>
      <c r="B212" s="27" t="s">
        <v>4200</v>
      </c>
      <c r="C212" t="s">
        <v>4199</v>
      </c>
      <c r="D212">
        <v>2024</v>
      </c>
      <c r="E212">
        <v>1</v>
      </c>
      <c r="F212">
        <v>8</v>
      </c>
      <c r="G212" s="26" t="s">
        <v>620</v>
      </c>
      <c r="H212" s="26" t="s">
        <v>4379</v>
      </c>
      <c r="I212" s="22">
        <v>454</v>
      </c>
      <c r="J212">
        <v>439</v>
      </c>
      <c r="K212">
        <v>15</v>
      </c>
      <c r="L212" s="28">
        <v>39.44</v>
      </c>
      <c r="M212" s="29">
        <v>0.410812</v>
      </c>
      <c r="N212" s="30">
        <f t="shared" si="6"/>
        <v>96.0049852487269</v>
      </c>
      <c r="O212" s="26" t="s">
        <v>3890</v>
      </c>
    </row>
  </sheetData>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3:EY328"/>
  <sheetViews>
    <sheetView workbookViewId="0">
      <selection activeCell="E20" sqref="E20"/>
    </sheetView>
  </sheetViews>
  <sheetFormatPr defaultColWidth="15.6363636363636" defaultRowHeight="14"/>
  <cols>
    <col min="1" max="1" width="15.6363636363636" style="2" customWidth="1"/>
    <col min="2" max="3" width="15.6363636363636" style="3" customWidth="1"/>
    <col min="4" max="4" width="9.63636363636364" style="2" customWidth="1"/>
    <col min="5" max="5" width="61.6363636363636" style="2" customWidth="1"/>
    <col min="6" max="6" width="15.6363636363636" style="4" customWidth="1"/>
    <col min="7" max="7" width="15.6363636363636" style="5" customWidth="1"/>
    <col min="8" max="8" width="15.6363636363636" style="2" customWidth="1"/>
    <col min="9" max="9" width="5.45454545454545" style="2" customWidth="1"/>
    <col min="10" max="11" width="15.6363636363636" style="6"/>
    <col min="12" max="16384" width="15.6363636363636" style="2"/>
  </cols>
  <sheetData>
    <row r="3" spans="1:11">
      <c r="A3" s="7" t="s">
        <v>4380</v>
      </c>
      <c r="B3" s="7"/>
      <c r="E3"/>
      <c r="F3" t="s">
        <v>4381</v>
      </c>
      <c r="G3"/>
      <c r="H3"/>
      <c r="J3" s="15" t="s">
        <v>4380</v>
      </c>
      <c r="K3" s="15" t="s">
        <v>4382</v>
      </c>
    </row>
    <row r="4" spans="1:11">
      <c r="A4" s="7" t="s">
        <v>4383</v>
      </c>
      <c r="B4" s="8">
        <v>80754.96</v>
      </c>
      <c r="E4" t="s">
        <v>4384</v>
      </c>
      <c r="F4" t="s">
        <v>4385</v>
      </c>
      <c r="G4" t="s">
        <v>4386</v>
      </c>
      <c r="H4"/>
      <c r="J4" s="16" t="s">
        <v>4383</v>
      </c>
      <c r="K4" s="17">
        <f ca="1">GETPIVOTDATA("销售总额",$A$3)</f>
        <v>80754.96</v>
      </c>
    </row>
    <row r="5" spans="1:11">
      <c r="A5" s="7" t="s">
        <v>4387</v>
      </c>
      <c r="B5" s="8">
        <v>16806.6909274635</v>
      </c>
      <c r="E5" s="7" t="s">
        <v>3346</v>
      </c>
      <c r="F5" s="9">
        <v>358</v>
      </c>
      <c r="G5" s="10">
        <v>2</v>
      </c>
      <c r="H5"/>
      <c r="J5" s="16" t="s">
        <v>4387</v>
      </c>
      <c r="K5" s="18">
        <f ca="1">GETPIVOTDATA("利润总额",$A$3)</f>
        <v>16806.6909274635</v>
      </c>
    </row>
    <row r="6" spans="1:11">
      <c r="A6" s="7" t="s">
        <v>4388</v>
      </c>
      <c r="B6" s="11">
        <v>0.21552577004994</v>
      </c>
      <c r="E6" s="7" t="s">
        <v>2706</v>
      </c>
      <c r="F6" s="9">
        <v>335</v>
      </c>
      <c r="G6" s="10">
        <v>1</v>
      </c>
      <c r="H6"/>
      <c r="J6" s="16" t="s">
        <v>4388</v>
      </c>
      <c r="K6" s="19">
        <f ca="1">GETPIVOTDATA("利润率",$A$3)</f>
        <v>0.21552577004994</v>
      </c>
    </row>
    <row r="7" spans="1:11">
      <c r="A7" s="7" t="s">
        <v>4389</v>
      </c>
      <c r="B7" s="7">
        <v>128</v>
      </c>
      <c r="E7" s="7" t="s">
        <v>2186</v>
      </c>
      <c r="F7" s="9">
        <v>414</v>
      </c>
      <c r="G7" s="10">
        <v>3</v>
      </c>
      <c r="H7"/>
      <c r="J7" s="16" t="s">
        <v>4389</v>
      </c>
      <c r="K7" s="20">
        <f ca="1">GETPIVOTDATA("订单量",$A$3)</f>
        <v>128</v>
      </c>
    </row>
    <row r="8" spans="1:11">
      <c r="A8" s="7" t="s">
        <v>4390</v>
      </c>
      <c r="B8" s="8">
        <v>630.898125</v>
      </c>
      <c r="E8" s="7" t="s">
        <v>1076</v>
      </c>
      <c r="F8" s="9">
        <v>2058</v>
      </c>
      <c r="G8" s="10">
        <v>9</v>
      </c>
      <c r="H8"/>
      <c r="J8" s="16" t="s">
        <v>4390</v>
      </c>
      <c r="K8" s="17">
        <f ca="1">GETPIVOTDATA("客单价",$A$3)</f>
        <v>630.898125</v>
      </c>
    </row>
    <row r="9" spans="5:8">
      <c r="E9" s="7" t="s">
        <v>990</v>
      </c>
      <c r="F9" s="9">
        <v>1071</v>
      </c>
      <c r="G9" s="10">
        <v>2</v>
      </c>
      <c r="H9"/>
    </row>
    <row r="10" spans="5:8">
      <c r="E10" s="7" t="s">
        <v>2344</v>
      </c>
      <c r="F10" s="9">
        <v>340</v>
      </c>
      <c r="G10" s="10">
        <v>1</v>
      </c>
      <c r="H10"/>
    </row>
    <row r="11" spans="5:8">
      <c r="E11" s="7" t="s">
        <v>1367</v>
      </c>
      <c r="F11" s="9">
        <v>1341</v>
      </c>
      <c r="G11" s="10">
        <v>7</v>
      </c>
      <c r="H11"/>
    </row>
    <row r="12" spans="1:8">
      <c r="A12"/>
      <c r="B12" t="s">
        <v>4381</v>
      </c>
      <c r="C12"/>
      <c r="E12" s="7" t="s">
        <v>2426</v>
      </c>
      <c r="F12" s="9">
        <v>2797</v>
      </c>
      <c r="G12" s="10">
        <v>13</v>
      </c>
      <c r="H12"/>
    </row>
    <row r="13" spans="1:8">
      <c r="A13" t="s">
        <v>4391</v>
      </c>
      <c r="B13" s="12" t="s">
        <v>4389</v>
      </c>
      <c r="C13" s="12" t="s">
        <v>4385</v>
      </c>
      <c r="E13" s="7" t="s">
        <v>335</v>
      </c>
      <c r="F13" s="9">
        <v>1560</v>
      </c>
      <c r="G13" s="10">
        <v>6</v>
      </c>
      <c r="H13"/>
    </row>
    <row r="14" spans="1:8">
      <c r="A14" s="7">
        <v>2023</v>
      </c>
      <c r="B14" s="12">
        <v>128</v>
      </c>
      <c r="C14">
        <v>80754.96</v>
      </c>
      <c r="D14"/>
      <c r="E14" s="7" t="s">
        <v>1428</v>
      </c>
      <c r="F14" s="9">
        <v>377</v>
      </c>
      <c r="G14" s="10">
        <v>1</v>
      </c>
      <c r="H14"/>
    </row>
    <row r="15" spans="1:8">
      <c r="A15" s="13">
        <v>11</v>
      </c>
      <c r="B15" s="12">
        <v>50</v>
      </c>
      <c r="C15">
        <v>34980</v>
      </c>
      <c r="D15"/>
      <c r="E15" s="7" t="s">
        <v>620</v>
      </c>
      <c r="F15" s="9">
        <v>3044</v>
      </c>
      <c r="G15" s="10">
        <v>5</v>
      </c>
      <c r="H15"/>
    </row>
    <row r="16" spans="1:8">
      <c r="A16" s="13">
        <v>12</v>
      </c>
      <c r="B16" s="12">
        <v>78</v>
      </c>
      <c r="C16">
        <v>45774.96</v>
      </c>
      <c r="D16"/>
      <c r="E16" s="7" t="s">
        <v>210</v>
      </c>
      <c r="F16" s="9">
        <v>10768</v>
      </c>
      <c r="G16" s="10">
        <v>18</v>
      </c>
      <c r="H16"/>
    </row>
    <row r="17" spans="1:8">
      <c r="A17"/>
      <c r="B17"/>
      <c r="C17"/>
      <c r="D17"/>
      <c r="E17" s="7" t="s">
        <v>2402</v>
      </c>
      <c r="F17" s="9">
        <v>1328</v>
      </c>
      <c r="G17" s="10">
        <v>2</v>
      </c>
      <c r="H17"/>
    </row>
    <row r="18" spans="1:8">
      <c r="A18"/>
      <c r="B18"/>
      <c r="C18"/>
      <c r="D18"/>
      <c r="E18" s="7" t="s">
        <v>2038</v>
      </c>
      <c r="F18" s="9">
        <v>537.96</v>
      </c>
      <c r="G18" s="10">
        <v>1</v>
      </c>
      <c r="H18"/>
    </row>
    <row r="19" spans="1:8">
      <c r="A19"/>
      <c r="B19"/>
      <c r="C19"/>
      <c r="D19"/>
      <c r="E19" s="7" t="s">
        <v>1884</v>
      </c>
      <c r="F19" s="9">
        <v>582</v>
      </c>
      <c r="G19" s="10">
        <v>3</v>
      </c>
      <c r="H19"/>
    </row>
    <row r="20" spans="1:8">
      <c r="A20"/>
      <c r="B20"/>
      <c r="C20"/>
      <c r="D20"/>
      <c r="E20" s="7" t="s">
        <v>707</v>
      </c>
      <c r="F20" s="9">
        <v>4440.25</v>
      </c>
      <c r="G20" s="10">
        <v>12</v>
      </c>
      <c r="H20"/>
    </row>
    <row r="21" spans="1:8">
      <c r="A21"/>
      <c r="C21"/>
      <c r="E21" s="7" t="s">
        <v>1984</v>
      </c>
      <c r="F21" s="9">
        <v>324</v>
      </c>
      <c r="G21" s="10">
        <v>1</v>
      </c>
      <c r="H21"/>
    </row>
    <row r="22" spans="1:8">
      <c r="A22"/>
      <c r="E22" s="7" t="s">
        <v>2011</v>
      </c>
      <c r="F22" s="9">
        <v>2268</v>
      </c>
      <c r="G22" s="10">
        <v>3</v>
      </c>
      <c r="H22"/>
    </row>
    <row r="23" spans="1:8">
      <c r="A23"/>
      <c r="B23" t="s">
        <v>4381</v>
      </c>
      <c r="C23"/>
      <c r="D23"/>
      <c r="E23" s="7" t="s">
        <v>3693</v>
      </c>
      <c r="F23" s="9">
        <v>1067</v>
      </c>
      <c r="G23" s="10">
        <v>2</v>
      </c>
      <c r="H23"/>
    </row>
    <row r="24" spans="1:8">
      <c r="A24" t="s">
        <v>4392</v>
      </c>
      <c r="B24" t="s">
        <v>4385</v>
      </c>
      <c r="C24" t="s">
        <v>4393</v>
      </c>
      <c r="D24"/>
      <c r="E24" s="7" t="s">
        <v>3182</v>
      </c>
      <c r="F24" s="9">
        <v>0</v>
      </c>
      <c r="G24" s="10">
        <v>3</v>
      </c>
      <c r="H24"/>
    </row>
    <row r="25" spans="1:8">
      <c r="A25" s="7" t="s">
        <v>3628</v>
      </c>
      <c r="B25">
        <v>1672</v>
      </c>
      <c r="C25">
        <v>3</v>
      </c>
      <c r="D25"/>
      <c r="E25" s="7" t="s">
        <v>549</v>
      </c>
      <c r="F25" s="9">
        <v>4693.75</v>
      </c>
      <c r="G25" s="10">
        <v>6</v>
      </c>
      <c r="H25"/>
    </row>
    <row r="26" spans="1:8">
      <c r="A26" s="7" t="s">
        <v>179</v>
      </c>
      <c r="B26">
        <v>75567.71</v>
      </c>
      <c r="C26">
        <v>176</v>
      </c>
      <c r="D26"/>
      <c r="E26" s="7" t="s">
        <v>517</v>
      </c>
      <c r="F26" s="9">
        <v>2192</v>
      </c>
      <c r="G26" s="10">
        <v>4</v>
      </c>
      <c r="H26"/>
    </row>
    <row r="27" spans="1:8">
      <c r="A27" s="7" t="s">
        <v>779</v>
      </c>
      <c r="B27">
        <v>350</v>
      </c>
      <c r="C27">
        <v>1</v>
      </c>
      <c r="D27"/>
      <c r="E27" s="7" t="s">
        <v>648</v>
      </c>
      <c r="F27" s="9">
        <v>554</v>
      </c>
      <c r="G27" s="10">
        <v>1</v>
      </c>
      <c r="H27"/>
    </row>
    <row r="28" spans="1:8">
      <c r="A28" s="7" t="s">
        <v>2335</v>
      </c>
      <c r="B28">
        <v>3165.25</v>
      </c>
      <c r="C28">
        <v>5</v>
      </c>
      <c r="D28"/>
      <c r="E28" s="7" t="s">
        <v>2502</v>
      </c>
      <c r="F28" s="9">
        <v>868</v>
      </c>
      <c r="G28" s="10">
        <v>1</v>
      </c>
      <c r="H28"/>
    </row>
    <row r="29" spans="1:8">
      <c r="A29" s="7" t="s">
        <v>4394</v>
      </c>
      <c r="B29">
        <v>80754.96</v>
      </c>
      <c r="C29">
        <v>185</v>
      </c>
      <c r="D29"/>
      <c r="E29" s="7" t="s">
        <v>245</v>
      </c>
      <c r="F29" s="9">
        <v>7035</v>
      </c>
      <c r="G29" s="10">
        <v>18</v>
      </c>
      <c r="H29"/>
    </row>
    <row r="30" spans="1:8">
      <c r="A30"/>
      <c r="B30"/>
      <c r="C30"/>
      <c r="D30"/>
      <c r="E30" s="7" t="s">
        <v>1132</v>
      </c>
      <c r="F30" s="9">
        <v>1166</v>
      </c>
      <c r="G30" s="10">
        <v>3</v>
      </c>
      <c r="H30"/>
    </row>
    <row r="31" spans="1:8">
      <c r="A31"/>
      <c r="B31"/>
      <c r="C31"/>
      <c r="D31"/>
      <c r="E31" s="7" t="s">
        <v>765</v>
      </c>
      <c r="F31" s="9">
        <v>3592</v>
      </c>
      <c r="G31" s="10">
        <v>8</v>
      </c>
      <c r="H31"/>
    </row>
    <row r="32" spans="1:8">
      <c r="A32"/>
      <c r="B32"/>
      <c r="C32"/>
      <c r="D32"/>
      <c r="E32" s="7" t="s">
        <v>1957</v>
      </c>
      <c r="F32" s="9">
        <v>1697</v>
      </c>
      <c r="G32" s="10">
        <v>3</v>
      </c>
      <c r="H32"/>
    </row>
    <row r="33" spans="1:8">
      <c r="A33"/>
      <c r="C33"/>
      <c r="E33" s="7" t="s">
        <v>1252</v>
      </c>
      <c r="F33" s="9">
        <v>839</v>
      </c>
      <c r="G33" s="10">
        <v>4</v>
      </c>
      <c r="H33"/>
    </row>
    <row r="34" spans="1:8">
      <c r="A34"/>
      <c r="C34"/>
      <c r="E34" s="7" t="s">
        <v>2945</v>
      </c>
      <c r="F34" s="9">
        <v>778</v>
      </c>
      <c r="G34" s="10">
        <v>1</v>
      </c>
      <c r="H34"/>
    </row>
    <row r="35" spans="1:8">
      <c r="A35"/>
      <c r="C35"/>
      <c r="E35" s="7" t="s">
        <v>3263</v>
      </c>
      <c r="F35" s="9">
        <v>292</v>
      </c>
      <c r="G35" s="10">
        <v>3</v>
      </c>
      <c r="H35"/>
    </row>
    <row r="36" spans="1:8">
      <c r="A36"/>
      <c r="B36" t="s">
        <v>4381</v>
      </c>
      <c r="C36"/>
      <c r="D36"/>
      <c r="E36" s="7" t="s">
        <v>366</v>
      </c>
      <c r="F36" s="9">
        <v>6256</v>
      </c>
      <c r="G36" s="10">
        <v>7</v>
      </c>
      <c r="H36"/>
    </row>
    <row r="37" spans="1:8">
      <c r="A37" t="s">
        <v>4395</v>
      </c>
      <c r="B37" t="s">
        <v>4385</v>
      </c>
      <c r="C37" t="s">
        <v>4393</v>
      </c>
      <c r="D37"/>
      <c r="E37" s="7" t="s">
        <v>894</v>
      </c>
      <c r="F37" s="9">
        <v>1262</v>
      </c>
      <c r="G37" s="10">
        <v>3</v>
      </c>
      <c r="H37"/>
    </row>
    <row r="38" spans="1:8">
      <c r="A38" s="7" t="s">
        <v>4352</v>
      </c>
      <c r="B38">
        <v>209</v>
      </c>
      <c r="C38">
        <v>1</v>
      </c>
      <c r="D38"/>
      <c r="E38" s="7" t="s">
        <v>1109</v>
      </c>
      <c r="F38" s="9">
        <v>2330</v>
      </c>
      <c r="G38" s="10">
        <v>4</v>
      </c>
      <c r="H38"/>
    </row>
    <row r="39" spans="1:8">
      <c r="A39" s="7" t="s">
        <v>4230</v>
      </c>
      <c r="B39">
        <v>830</v>
      </c>
      <c r="C39">
        <v>1</v>
      </c>
      <c r="D39"/>
      <c r="E39" s="7" t="s">
        <v>283</v>
      </c>
      <c r="F39" s="9">
        <v>5379</v>
      </c>
      <c r="G39" s="10">
        <v>7</v>
      </c>
      <c r="H39"/>
    </row>
    <row r="40" spans="1:8">
      <c r="A40" s="7" t="s">
        <v>4348</v>
      </c>
      <c r="B40">
        <v>686</v>
      </c>
      <c r="C40">
        <v>2</v>
      </c>
      <c r="D40"/>
      <c r="E40" s="7" t="s">
        <v>2075</v>
      </c>
      <c r="F40" s="9">
        <v>1540</v>
      </c>
      <c r="G40" s="10">
        <v>4</v>
      </c>
      <c r="H40"/>
    </row>
    <row r="41" spans="1:8">
      <c r="A41" s="7" t="s">
        <v>4320</v>
      </c>
      <c r="B41">
        <v>1447</v>
      </c>
      <c r="C41">
        <v>1</v>
      </c>
      <c r="D41"/>
      <c r="E41" s="7" t="s">
        <v>313</v>
      </c>
      <c r="F41" s="9">
        <v>3340</v>
      </c>
      <c r="G41" s="10">
        <v>8</v>
      </c>
      <c r="H41"/>
    </row>
    <row r="42" spans="1:8">
      <c r="A42" s="7" t="s">
        <v>4339</v>
      </c>
      <c r="B42">
        <v>1937</v>
      </c>
      <c r="C42">
        <v>1</v>
      </c>
      <c r="D42"/>
      <c r="E42" s="7" t="s">
        <v>475</v>
      </c>
      <c r="F42" s="9">
        <v>869</v>
      </c>
      <c r="G42" s="10">
        <v>2</v>
      </c>
      <c r="H42"/>
    </row>
    <row r="43" spans="1:8">
      <c r="A43" s="7" t="s">
        <v>4319</v>
      </c>
      <c r="B43">
        <v>707</v>
      </c>
      <c r="C43">
        <v>1</v>
      </c>
      <c r="D43"/>
      <c r="E43" s="7" t="s">
        <v>425</v>
      </c>
      <c r="F43" s="9">
        <v>1062</v>
      </c>
      <c r="G43" s="10">
        <v>3</v>
      </c>
      <c r="H43"/>
    </row>
    <row r="44" spans="1:8">
      <c r="A44" s="7" t="s">
        <v>4242</v>
      </c>
      <c r="B44">
        <v>554</v>
      </c>
      <c r="C44">
        <v>1</v>
      </c>
      <c r="D44"/>
      <c r="E44" s="7" t="s">
        <v>4394</v>
      </c>
      <c r="F44" s="14">
        <v>80754.96</v>
      </c>
      <c r="G44" s="10">
        <v>185</v>
      </c>
      <c r="H44"/>
    </row>
    <row r="45" spans="1:8">
      <c r="A45" s="7" t="s">
        <v>4301</v>
      </c>
      <c r="B45">
        <v>330</v>
      </c>
      <c r="C45">
        <v>1</v>
      </c>
      <c r="E45"/>
      <c r="F45"/>
      <c r="G45"/>
      <c r="H45"/>
    </row>
    <row r="46" spans="1:8">
      <c r="A46" s="7" t="s">
        <v>4268</v>
      </c>
      <c r="B46">
        <v>543</v>
      </c>
      <c r="C46">
        <v>1</v>
      </c>
      <c r="E46"/>
      <c r="F46"/>
      <c r="G46"/>
      <c r="H46"/>
    </row>
    <row r="47" spans="1:8">
      <c r="A47" s="7" t="s">
        <v>4357</v>
      </c>
      <c r="B47">
        <v>752.25</v>
      </c>
      <c r="C47">
        <v>2</v>
      </c>
      <c r="E47"/>
      <c r="F47"/>
      <c r="G47"/>
      <c r="H47"/>
    </row>
    <row r="48" spans="1:3">
      <c r="A48" s="7" t="s">
        <v>4363</v>
      </c>
      <c r="B48">
        <v>1160</v>
      </c>
      <c r="C48">
        <v>2</v>
      </c>
    </row>
    <row r="49" spans="1:3">
      <c r="A49" s="7" t="s">
        <v>4263</v>
      </c>
      <c r="B49">
        <v>285</v>
      </c>
      <c r="C49">
        <v>1</v>
      </c>
    </row>
    <row r="50" spans="1:9">
      <c r="A50" s="7" t="s">
        <v>4252</v>
      </c>
      <c r="B50">
        <v>576</v>
      </c>
      <c r="C50">
        <v>1</v>
      </c>
      <c r="D50"/>
      <c r="E50"/>
      <c r="F50"/>
      <c r="G50"/>
      <c r="H50"/>
      <c r="I50"/>
    </row>
    <row r="51" spans="1:155">
      <c r="A51" s="7" t="s">
        <v>4265</v>
      </c>
      <c r="B51">
        <v>437</v>
      </c>
      <c r="C51">
        <v>1</v>
      </c>
      <c r="D51"/>
      <c r="E51" t="s">
        <v>4396</v>
      </c>
      <c r="F51" t="s">
        <v>4386</v>
      </c>
      <c r="G51"/>
      <c r="H51"/>
      <c r="I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row>
    <row r="52" spans="1:155">
      <c r="A52" s="7" t="s">
        <v>4289</v>
      </c>
      <c r="B52">
        <v>482</v>
      </c>
      <c r="C52">
        <v>1</v>
      </c>
      <c r="D52"/>
      <c r="E52" s="7" t="s">
        <v>3346</v>
      </c>
      <c r="F52">
        <v>2</v>
      </c>
      <c r="G52"/>
      <c r="H52"/>
      <c r="I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row>
    <row r="53" spans="1:155">
      <c r="A53" s="7" t="s">
        <v>4245</v>
      </c>
      <c r="B53">
        <v>437</v>
      </c>
      <c r="C53">
        <v>1</v>
      </c>
      <c r="D53"/>
      <c r="E53" s="13" t="s">
        <v>179</v>
      </c>
      <c r="F53">
        <v>2</v>
      </c>
      <c r="G53"/>
      <c r="H53"/>
      <c r="I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row>
    <row r="54" spans="1:155">
      <c r="A54" s="7" t="s">
        <v>4345</v>
      </c>
      <c r="B54">
        <v>858</v>
      </c>
      <c r="C54">
        <v>2</v>
      </c>
      <c r="D54"/>
      <c r="E54" s="7" t="s">
        <v>2706</v>
      </c>
      <c r="F54">
        <v>1</v>
      </c>
      <c r="G54"/>
      <c r="H54"/>
      <c r="I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row>
    <row r="55" spans="1:155">
      <c r="A55" s="7" t="s">
        <v>4260</v>
      </c>
      <c r="B55">
        <v>3037.75</v>
      </c>
      <c r="C55">
        <v>3</v>
      </c>
      <c r="D55"/>
      <c r="E55" s="13" t="s">
        <v>179</v>
      </c>
      <c r="F55">
        <v>1</v>
      </c>
      <c r="G55"/>
      <c r="H55"/>
      <c r="I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row>
    <row r="56" spans="1:155">
      <c r="A56" s="7" t="s">
        <v>4333</v>
      </c>
      <c r="B56">
        <v>0</v>
      </c>
      <c r="C56">
        <v>2</v>
      </c>
      <c r="D56"/>
      <c r="E56" s="7" t="s">
        <v>2186</v>
      </c>
      <c r="F56">
        <v>3</v>
      </c>
      <c r="G56"/>
      <c r="H56"/>
      <c r="I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row>
    <row r="57" spans="1:155">
      <c r="A57" s="7" t="s">
        <v>4288</v>
      </c>
      <c r="B57">
        <v>508</v>
      </c>
      <c r="C57">
        <v>1</v>
      </c>
      <c r="D57"/>
      <c r="E57" s="13" t="s">
        <v>179</v>
      </c>
      <c r="F57">
        <v>3</v>
      </c>
      <c r="G57"/>
      <c r="H57"/>
      <c r="I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row>
    <row r="58" spans="1:155">
      <c r="A58" s="7" t="s">
        <v>4280</v>
      </c>
      <c r="B58">
        <v>747</v>
      </c>
      <c r="C58">
        <v>1</v>
      </c>
      <c r="D58"/>
      <c r="E58" s="7" t="s">
        <v>1076</v>
      </c>
      <c r="F58">
        <v>9</v>
      </c>
      <c r="G58"/>
      <c r="H58"/>
      <c r="I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row>
    <row r="59" spans="1:155">
      <c r="A59" s="7" t="s">
        <v>4286</v>
      </c>
      <c r="B59">
        <v>725</v>
      </c>
      <c r="C59">
        <v>1</v>
      </c>
      <c r="D59"/>
      <c r="E59" s="13" t="s">
        <v>179</v>
      </c>
      <c r="F59">
        <v>9</v>
      </c>
      <c r="G59"/>
      <c r="H59"/>
      <c r="I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row>
    <row r="60" spans="1:155">
      <c r="A60" s="7" t="s">
        <v>4225</v>
      </c>
      <c r="B60">
        <v>711</v>
      </c>
      <c r="C60">
        <v>1</v>
      </c>
      <c r="D60"/>
      <c r="E60" s="7" t="s">
        <v>990</v>
      </c>
      <c r="F60">
        <v>2</v>
      </c>
      <c r="G60"/>
      <c r="H60"/>
      <c r="I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row>
    <row r="61" spans="1:155">
      <c r="A61" s="7" t="s">
        <v>4241</v>
      </c>
      <c r="B61">
        <v>793</v>
      </c>
      <c r="C61">
        <v>1</v>
      </c>
      <c r="D61"/>
      <c r="E61" s="13" t="s">
        <v>179</v>
      </c>
      <c r="F61">
        <v>2</v>
      </c>
      <c r="G61"/>
      <c r="H61"/>
      <c r="I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row>
    <row r="62" spans="1:155">
      <c r="A62" s="7" t="s">
        <v>4361</v>
      </c>
      <c r="B62">
        <v>0</v>
      </c>
      <c r="C62">
        <v>1</v>
      </c>
      <c r="D62"/>
      <c r="E62" s="7" t="s">
        <v>2344</v>
      </c>
      <c r="F62">
        <v>1</v>
      </c>
      <c r="G62"/>
      <c r="H62"/>
      <c r="I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row>
    <row r="63" spans="1:155">
      <c r="A63" s="7" t="s">
        <v>4313</v>
      </c>
      <c r="B63">
        <v>0</v>
      </c>
      <c r="C63">
        <v>1</v>
      </c>
      <c r="D63"/>
      <c r="E63" s="13" t="s">
        <v>179</v>
      </c>
      <c r="F63">
        <v>1</v>
      </c>
      <c r="G63"/>
      <c r="H63"/>
      <c r="I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row>
    <row r="64" spans="1:155">
      <c r="A64" s="7" t="s">
        <v>4271</v>
      </c>
      <c r="B64">
        <v>0</v>
      </c>
      <c r="C64">
        <v>2</v>
      </c>
      <c r="D64"/>
      <c r="E64" s="7" t="s">
        <v>1367</v>
      </c>
      <c r="F64">
        <v>7</v>
      </c>
      <c r="G64"/>
      <c r="H64"/>
      <c r="I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row>
    <row r="65" spans="1:155">
      <c r="A65" s="7" t="s">
        <v>4270</v>
      </c>
      <c r="B65">
        <v>1367</v>
      </c>
      <c r="C65">
        <v>2</v>
      </c>
      <c r="D65"/>
      <c r="E65" s="13" t="s">
        <v>179</v>
      </c>
      <c r="F65">
        <v>7</v>
      </c>
      <c r="G65"/>
      <c r="H65"/>
      <c r="I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row>
    <row r="66" spans="1:155">
      <c r="A66" s="7" t="s">
        <v>4277</v>
      </c>
      <c r="B66">
        <v>554</v>
      </c>
      <c r="C66">
        <v>1</v>
      </c>
      <c r="D66"/>
      <c r="E66" s="7" t="s">
        <v>2426</v>
      </c>
      <c r="F66">
        <v>13</v>
      </c>
      <c r="G66"/>
      <c r="H66"/>
      <c r="I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row>
    <row r="67" spans="1:155">
      <c r="A67" s="7" t="s">
        <v>4243</v>
      </c>
      <c r="B67">
        <v>550</v>
      </c>
      <c r="C67">
        <v>1</v>
      </c>
      <c r="D67"/>
      <c r="E67" s="13" t="s">
        <v>179</v>
      </c>
      <c r="F67">
        <v>13</v>
      </c>
      <c r="G67"/>
      <c r="H67"/>
      <c r="I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row>
    <row r="68" spans="1:155">
      <c r="A68" s="7" t="s">
        <v>4257</v>
      </c>
      <c r="B68">
        <v>857</v>
      </c>
      <c r="C68">
        <v>3</v>
      </c>
      <c r="D68"/>
      <c r="E68" s="7" t="s">
        <v>335</v>
      </c>
      <c r="F68">
        <v>6</v>
      </c>
      <c r="G68"/>
      <c r="H68"/>
      <c r="I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row>
    <row r="69" spans="1:155">
      <c r="A69" s="7" t="s">
        <v>4267</v>
      </c>
      <c r="B69">
        <v>0</v>
      </c>
      <c r="C69">
        <v>1</v>
      </c>
      <c r="D69"/>
      <c r="E69" s="13" t="s">
        <v>179</v>
      </c>
      <c r="F69">
        <v>6</v>
      </c>
      <c r="G69"/>
      <c r="H69"/>
      <c r="I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row>
    <row r="70" spans="1:155">
      <c r="A70" s="7" t="s">
        <v>4331</v>
      </c>
      <c r="B70">
        <v>0</v>
      </c>
      <c r="C70">
        <v>1</v>
      </c>
      <c r="D70"/>
      <c r="E70" s="7" t="s">
        <v>1428</v>
      </c>
      <c r="F70">
        <v>1</v>
      </c>
      <c r="G70"/>
      <c r="H70"/>
      <c r="I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row>
    <row r="71" spans="1:155">
      <c r="A71" s="7" t="s">
        <v>4303</v>
      </c>
      <c r="B71">
        <v>435</v>
      </c>
      <c r="C71">
        <v>1</v>
      </c>
      <c r="D71"/>
      <c r="E71" s="13" t="s">
        <v>179</v>
      </c>
      <c r="F71">
        <v>1</v>
      </c>
      <c r="G71"/>
      <c r="H71"/>
      <c r="I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row>
    <row r="72" spans="1:155">
      <c r="A72" s="7" t="s">
        <v>4296</v>
      </c>
      <c r="B72">
        <v>605</v>
      </c>
      <c r="C72">
        <v>1</v>
      </c>
      <c r="D72"/>
      <c r="E72" s="7" t="s">
        <v>620</v>
      </c>
      <c r="F72">
        <v>5</v>
      </c>
      <c r="G72"/>
      <c r="H72"/>
      <c r="I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row>
    <row r="73" spans="1:155">
      <c r="A73" s="7" t="s">
        <v>4290</v>
      </c>
      <c r="B73">
        <v>1697</v>
      </c>
      <c r="C73">
        <v>3</v>
      </c>
      <c r="D73"/>
      <c r="E73" s="13" t="s">
        <v>179</v>
      </c>
      <c r="F73">
        <v>5</v>
      </c>
      <c r="G73"/>
      <c r="H73"/>
      <c r="I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row>
    <row r="74" spans="1:155">
      <c r="A74" s="7" t="s">
        <v>4275</v>
      </c>
      <c r="B74">
        <v>0</v>
      </c>
      <c r="C74">
        <v>2</v>
      </c>
      <c r="D74"/>
      <c r="E74" s="7" t="s">
        <v>210</v>
      </c>
      <c r="F74">
        <v>18</v>
      </c>
      <c r="G74"/>
      <c r="H74"/>
      <c r="I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row>
    <row r="75" spans="1:155">
      <c r="A75" s="7" t="s">
        <v>4343</v>
      </c>
      <c r="B75">
        <v>292</v>
      </c>
      <c r="C75">
        <v>1</v>
      </c>
      <c r="D75"/>
      <c r="E75" s="13" t="s">
        <v>179</v>
      </c>
      <c r="F75">
        <v>18</v>
      </c>
      <c r="G75"/>
      <c r="H75"/>
      <c r="I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row>
    <row r="76" spans="1:155">
      <c r="A76" s="7" t="s">
        <v>4250</v>
      </c>
      <c r="B76">
        <v>0</v>
      </c>
      <c r="C76">
        <v>1</v>
      </c>
      <c r="D76"/>
      <c r="E76" s="7" t="s">
        <v>2402</v>
      </c>
      <c r="F76">
        <v>2</v>
      </c>
      <c r="G76"/>
      <c r="H76"/>
      <c r="I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row>
    <row r="77" spans="1:155">
      <c r="A77" s="7" t="s">
        <v>4332</v>
      </c>
      <c r="B77">
        <v>0</v>
      </c>
      <c r="C77">
        <v>2</v>
      </c>
      <c r="D77"/>
      <c r="E77" s="13" t="s">
        <v>179</v>
      </c>
      <c r="F77">
        <v>2</v>
      </c>
      <c r="G77"/>
      <c r="H77"/>
      <c r="I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row>
    <row r="78" spans="1:155">
      <c r="A78" s="7" t="s">
        <v>4306</v>
      </c>
      <c r="B78">
        <v>441</v>
      </c>
      <c r="C78">
        <v>1</v>
      </c>
      <c r="D78"/>
      <c r="E78" s="7" t="s">
        <v>2038</v>
      </c>
      <c r="F78">
        <v>1</v>
      </c>
      <c r="G78"/>
      <c r="H78"/>
      <c r="I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row>
    <row r="79" spans="1:155">
      <c r="A79" s="7" t="s">
        <v>4317</v>
      </c>
      <c r="B79">
        <v>887</v>
      </c>
      <c r="C79">
        <v>1</v>
      </c>
      <c r="D79"/>
      <c r="E79" s="13" t="s">
        <v>179</v>
      </c>
      <c r="F79">
        <v>1</v>
      </c>
      <c r="G79"/>
      <c r="H79"/>
      <c r="I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row>
    <row r="80" spans="1:155">
      <c r="A80" s="7" t="s">
        <v>4297</v>
      </c>
      <c r="B80">
        <v>349</v>
      </c>
      <c r="C80">
        <v>1</v>
      </c>
      <c r="D80"/>
      <c r="E80" s="7" t="s">
        <v>1884</v>
      </c>
      <c r="F80">
        <v>3</v>
      </c>
      <c r="G80"/>
      <c r="H80"/>
      <c r="I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row>
    <row r="81" spans="1:155">
      <c r="A81" s="7" t="s">
        <v>4309</v>
      </c>
      <c r="B81">
        <v>489</v>
      </c>
      <c r="C81">
        <v>1</v>
      </c>
      <c r="D81"/>
      <c r="E81" s="13" t="s">
        <v>179</v>
      </c>
      <c r="F81">
        <v>3</v>
      </c>
      <c r="G81"/>
      <c r="H81"/>
      <c r="I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row>
    <row r="82" spans="1:155">
      <c r="A82" s="7" t="s">
        <v>4326</v>
      </c>
      <c r="B82">
        <v>380</v>
      </c>
      <c r="C82">
        <v>1</v>
      </c>
      <c r="D82"/>
      <c r="E82" s="7" t="s">
        <v>707</v>
      </c>
      <c r="F82">
        <v>12</v>
      </c>
      <c r="G82"/>
      <c r="H82"/>
      <c r="I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row>
    <row r="83" spans="1:155">
      <c r="A83" s="7" t="s">
        <v>993</v>
      </c>
      <c r="B83">
        <v>892</v>
      </c>
      <c r="C83">
        <v>1</v>
      </c>
      <c r="D83"/>
      <c r="E83" s="13" t="s">
        <v>3628</v>
      </c>
      <c r="F83">
        <v>2</v>
      </c>
      <c r="G83"/>
      <c r="H83"/>
      <c r="I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row>
    <row r="84" spans="1:155">
      <c r="A84" s="7" t="s">
        <v>4329</v>
      </c>
      <c r="B84">
        <v>778</v>
      </c>
      <c r="C84">
        <v>1</v>
      </c>
      <c r="D84"/>
      <c r="E84" s="13" t="s">
        <v>179</v>
      </c>
      <c r="F84">
        <v>9</v>
      </c>
      <c r="G84"/>
      <c r="H84"/>
      <c r="I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row>
    <row r="85" spans="1:155">
      <c r="A85" s="7" t="s">
        <v>4258</v>
      </c>
      <c r="B85">
        <v>1077</v>
      </c>
      <c r="C85">
        <v>2</v>
      </c>
      <c r="D85"/>
      <c r="E85" s="13" t="s">
        <v>2335</v>
      </c>
      <c r="F85">
        <v>1</v>
      </c>
      <c r="G85"/>
      <c r="H85"/>
      <c r="I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row>
    <row r="86" spans="1:155">
      <c r="A86" s="7" t="s">
        <v>4262</v>
      </c>
      <c r="B86">
        <v>289</v>
      </c>
      <c r="C86">
        <v>1</v>
      </c>
      <c r="D86"/>
      <c r="E86" s="7" t="s">
        <v>1984</v>
      </c>
      <c r="F86">
        <v>1</v>
      </c>
      <c r="G86"/>
      <c r="H86"/>
      <c r="I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row>
    <row r="87" spans="1:155">
      <c r="A87" s="7" t="s">
        <v>4347</v>
      </c>
      <c r="B87">
        <v>358</v>
      </c>
      <c r="C87">
        <v>1</v>
      </c>
      <c r="D87"/>
      <c r="E87" s="13" t="s">
        <v>179</v>
      </c>
      <c r="F87">
        <v>1</v>
      </c>
      <c r="G87"/>
      <c r="H87"/>
      <c r="I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row>
    <row r="88" spans="1:155">
      <c r="A88" s="7" t="s">
        <v>4304</v>
      </c>
      <c r="B88">
        <v>546</v>
      </c>
      <c r="C88">
        <v>1</v>
      </c>
      <c r="D88"/>
      <c r="E88" s="7" t="s">
        <v>2011</v>
      </c>
      <c r="F88">
        <v>3</v>
      </c>
      <c r="G88"/>
      <c r="H88"/>
      <c r="I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row>
    <row r="89" spans="1:155">
      <c r="A89" s="7" t="s">
        <v>4234</v>
      </c>
      <c r="B89">
        <v>0</v>
      </c>
      <c r="C89">
        <v>1</v>
      </c>
      <c r="D89"/>
      <c r="E89" s="13" t="s">
        <v>179</v>
      </c>
      <c r="F89">
        <v>1</v>
      </c>
      <c r="G89"/>
      <c r="H89"/>
      <c r="I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row>
    <row r="90" spans="1:155">
      <c r="A90" s="7" t="s">
        <v>4325</v>
      </c>
      <c r="B90">
        <v>179</v>
      </c>
      <c r="C90">
        <v>1</v>
      </c>
      <c r="D90"/>
      <c r="E90" s="13" t="s">
        <v>2335</v>
      </c>
      <c r="F90">
        <v>2</v>
      </c>
      <c r="G90"/>
      <c r="H90"/>
      <c r="I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row>
    <row r="91" spans="1:155">
      <c r="A91" s="7" t="s">
        <v>4228</v>
      </c>
      <c r="B91">
        <v>0</v>
      </c>
      <c r="C91">
        <v>2</v>
      </c>
      <c r="D91"/>
      <c r="E91" s="7" t="s">
        <v>3693</v>
      </c>
      <c r="F91">
        <v>2</v>
      </c>
      <c r="G91"/>
      <c r="H91"/>
      <c r="I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row>
    <row r="92" spans="1:155">
      <c r="A92" s="7" t="s">
        <v>4308</v>
      </c>
      <c r="B92">
        <v>868</v>
      </c>
      <c r="C92">
        <v>1</v>
      </c>
      <c r="D92"/>
      <c r="E92" s="13" t="s">
        <v>179</v>
      </c>
      <c r="F92">
        <v>2</v>
      </c>
      <c r="G92"/>
      <c r="H92"/>
      <c r="I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row>
    <row r="93" spans="1:155">
      <c r="A93" s="7" t="s">
        <v>4284</v>
      </c>
      <c r="B93">
        <v>411</v>
      </c>
      <c r="C93">
        <v>1</v>
      </c>
      <c r="D93"/>
      <c r="E93" s="7" t="s">
        <v>3182</v>
      </c>
      <c r="F93">
        <v>3</v>
      </c>
      <c r="G93"/>
      <c r="H93"/>
      <c r="I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row>
    <row r="94" spans="1:155">
      <c r="A94" s="7" t="s">
        <v>4249</v>
      </c>
      <c r="B94">
        <v>1317</v>
      </c>
      <c r="C94">
        <v>1</v>
      </c>
      <c r="D94"/>
      <c r="E94" s="13" t="s">
        <v>179</v>
      </c>
      <c r="F94">
        <v>3</v>
      </c>
      <c r="G94"/>
      <c r="H94"/>
      <c r="I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row>
    <row r="95" spans="1:155">
      <c r="A95" s="7" t="s">
        <v>4256</v>
      </c>
      <c r="B95">
        <v>343</v>
      </c>
      <c r="C95">
        <v>1</v>
      </c>
      <c r="D95"/>
      <c r="E95" s="7" t="s">
        <v>549</v>
      </c>
      <c r="F95">
        <v>6</v>
      </c>
      <c r="G95"/>
      <c r="H95"/>
      <c r="I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row>
    <row r="96" spans="1:155">
      <c r="A96" s="7" t="s">
        <v>4346</v>
      </c>
      <c r="B96">
        <v>389</v>
      </c>
      <c r="C96">
        <v>1</v>
      </c>
      <c r="D96"/>
      <c r="E96" s="13" t="s">
        <v>3628</v>
      </c>
      <c r="F96">
        <v>1</v>
      </c>
      <c r="G96"/>
      <c r="H96"/>
      <c r="I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row>
    <row r="97" spans="1:155">
      <c r="A97" s="7" t="s">
        <v>4349</v>
      </c>
      <c r="B97">
        <v>450</v>
      </c>
      <c r="C97">
        <v>1</v>
      </c>
      <c r="D97"/>
      <c r="E97" s="13" t="s">
        <v>179</v>
      </c>
      <c r="F97">
        <v>5</v>
      </c>
      <c r="G97"/>
      <c r="H97"/>
      <c r="I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row>
    <row r="98" spans="1:155">
      <c r="A98" s="7" t="s">
        <v>4351</v>
      </c>
      <c r="B98">
        <v>0</v>
      </c>
      <c r="C98">
        <v>1</v>
      </c>
      <c r="D98"/>
      <c r="E98" s="7" t="s">
        <v>517</v>
      </c>
      <c r="F98">
        <v>4</v>
      </c>
      <c r="G98"/>
      <c r="H98"/>
      <c r="I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row>
    <row r="99" spans="1:155">
      <c r="A99" s="7" t="s">
        <v>4336</v>
      </c>
      <c r="B99">
        <v>0</v>
      </c>
      <c r="C99">
        <v>1</v>
      </c>
      <c r="D99"/>
      <c r="E99" s="13" t="s">
        <v>179</v>
      </c>
      <c r="F99">
        <v>4</v>
      </c>
      <c r="G99"/>
      <c r="H99"/>
      <c r="I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row>
    <row r="100" spans="1:155">
      <c r="A100" s="7" t="s">
        <v>4254</v>
      </c>
      <c r="B100">
        <v>949</v>
      </c>
      <c r="C100">
        <v>2</v>
      </c>
      <c r="D100"/>
      <c r="E100" s="7" t="s">
        <v>648</v>
      </c>
      <c r="F100">
        <v>1</v>
      </c>
      <c r="G100"/>
      <c r="H100"/>
      <c r="I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row>
    <row r="101" spans="1:155">
      <c r="A101" s="7" t="s">
        <v>4354</v>
      </c>
      <c r="B101">
        <v>515</v>
      </c>
      <c r="C101">
        <v>1</v>
      </c>
      <c r="D101"/>
      <c r="E101" s="13" t="s">
        <v>179</v>
      </c>
      <c r="F101">
        <v>1</v>
      </c>
      <c r="G101"/>
      <c r="H101"/>
      <c r="I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row>
    <row r="102" spans="1:155">
      <c r="A102" s="7" t="s">
        <v>4310</v>
      </c>
      <c r="B102">
        <v>115</v>
      </c>
      <c r="C102">
        <v>1</v>
      </c>
      <c r="D102"/>
      <c r="E102" s="7" t="s">
        <v>2502</v>
      </c>
      <c r="F102">
        <v>1</v>
      </c>
      <c r="G102"/>
      <c r="H102"/>
      <c r="I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row>
    <row r="103" spans="1:155">
      <c r="A103" s="7" t="s">
        <v>4273</v>
      </c>
      <c r="B103">
        <v>326</v>
      </c>
      <c r="C103">
        <v>1</v>
      </c>
      <c r="D103"/>
      <c r="E103" s="13" t="s">
        <v>179</v>
      </c>
      <c r="F103">
        <v>1</v>
      </c>
      <c r="G103"/>
      <c r="H103"/>
      <c r="I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row>
    <row r="104" spans="1:155">
      <c r="A104" s="7" t="s">
        <v>4312</v>
      </c>
      <c r="B104">
        <v>1090</v>
      </c>
      <c r="C104">
        <v>1</v>
      </c>
      <c r="D104"/>
      <c r="E104" s="7" t="s">
        <v>245</v>
      </c>
      <c r="F104">
        <v>18</v>
      </c>
      <c r="G104"/>
      <c r="H104"/>
      <c r="I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row>
    <row r="105" spans="1:155">
      <c r="A105" s="7" t="s">
        <v>4274</v>
      </c>
      <c r="B105">
        <v>1016</v>
      </c>
      <c r="C105">
        <v>2</v>
      </c>
      <c r="D105"/>
      <c r="E105" s="13" t="s">
        <v>179</v>
      </c>
      <c r="F105">
        <v>18</v>
      </c>
      <c r="G105"/>
      <c r="H105"/>
      <c r="I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row>
    <row r="106" spans="1:155">
      <c r="A106" s="7" t="s">
        <v>4324</v>
      </c>
      <c r="B106">
        <v>592</v>
      </c>
      <c r="C106">
        <v>1</v>
      </c>
      <c r="D106"/>
      <c r="E106" s="7" t="s">
        <v>1132</v>
      </c>
      <c r="F106">
        <v>3</v>
      </c>
      <c r="G106"/>
      <c r="H106"/>
      <c r="I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row>
    <row r="107" spans="1:155">
      <c r="A107" s="7" t="s">
        <v>4327</v>
      </c>
      <c r="B107">
        <v>0</v>
      </c>
      <c r="C107">
        <v>1</v>
      </c>
      <c r="D107"/>
      <c r="E107" s="13" t="s">
        <v>179</v>
      </c>
      <c r="F107">
        <v>3</v>
      </c>
      <c r="G107"/>
      <c r="H107"/>
      <c r="I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row>
    <row r="108" spans="1:155">
      <c r="A108" s="7" t="s">
        <v>4299</v>
      </c>
      <c r="B108">
        <v>247</v>
      </c>
      <c r="C108">
        <v>1</v>
      </c>
      <c r="D108"/>
      <c r="E108" s="7" t="s">
        <v>765</v>
      </c>
      <c r="F108">
        <v>8</v>
      </c>
      <c r="G108"/>
      <c r="H108"/>
      <c r="I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row>
    <row r="109" spans="1:155">
      <c r="A109" s="7" t="s">
        <v>4337</v>
      </c>
      <c r="B109">
        <v>379</v>
      </c>
      <c r="C109">
        <v>1</v>
      </c>
      <c r="D109"/>
      <c r="E109" s="13" t="s">
        <v>179</v>
      </c>
      <c r="F109">
        <v>7</v>
      </c>
      <c r="G109"/>
      <c r="H109"/>
      <c r="I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row>
    <row r="110" spans="1:155">
      <c r="A110" s="7" t="s">
        <v>4334</v>
      </c>
      <c r="B110">
        <v>494</v>
      </c>
      <c r="C110">
        <v>1</v>
      </c>
      <c r="D110"/>
      <c r="E110" s="13" t="s">
        <v>779</v>
      </c>
      <c r="F110">
        <v>1</v>
      </c>
      <c r="G110"/>
      <c r="H110"/>
      <c r="I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row>
    <row r="111" spans="1:155">
      <c r="A111" s="7" t="s">
        <v>4300</v>
      </c>
      <c r="B111">
        <v>200</v>
      </c>
      <c r="C111">
        <v>1</v>
      </c>
      <c r="D111"/>
      <c r="E111" s="7" t="s">
        <v>1957</v>
      </c>
      <c r="F111">
        <v>3</v>
      </c>
      <c r="G111"/>
      <c r="H111"/>
      <c r="I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row>
    <row r="112" spans="1:155">
      <c r="A112" s="7" t="s">
        <v>4341</v>
      </c>
      <c r="B112">
        <v>186</v>
      </c>
      <c r="C112">
        <v>1</v>
      </c>
      <c r="D112"/>
      <c r="E112" s="13" t="s">
        <v>179</v>
      </c>
      <c r="F112">
        <v>3</v>
      </c>
      <c r="G112"/>
      <c r="H112"/>
      <c r="I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row>
    <row r="113" spans="1:155">
      <c r="A113" s="7" t="s">
        <v>4291</v>
      </c>
      <c r="B113">
        <v>324</v>
      </c>
      <c r="C113">
        <v>1</v>
      </c>
      <c r="D113"/>
      <c r="E113" s="7" t="s">
        <v>1252</v>
      </c>
      <c r="F113">
        <v>4</v>
      </c>
      <c r="G113"/>
      <c r="H113"/>
      <c r="I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row>
    <row r="114" spans="1:155">
      <c r="A114" s="7" t="s">
        <v>4362</v>
      </c>
      <c r="B114">
        <v>334</v>
      </c>
      <c r="C114">
        <v>1</v>
      </c>
      <c r="D114"/>
      <c r="E114" s="13" t="s">
        <v>179</v>
      </c>
      <c r="F114">
        <v>4</v>
      </c>
      <c r="G114"/>
      <c r="H114"/>
      <c r="I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row>
    <row r="115" spans="1:155">
      <c r="A115" s="7" t="s">
        <v>4253</v>
      </c>
      <c r="B115">
        <v>698</v>
      </c>
      <c r="C115">
        <v>1</v>
      </c>
      <c r="D115"/>
      <c r="E115" s="7" t="s">
        <v>2945</v>
      </c>
      <c r="F115">
        <v>1</v>
      </c>
      <c r="G115"/>
      <c r="H115"/>
      <c r="I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row>
    <row r="116" spans="1:155">
      <c r="A116" s="7" t="s">
        <v>4355</v>
      </c>
      <c r="B116">
        <v>1193</v>
      </c>
      <c r="C116">
        <v>1</v>
      </c>
      <c r="D116"/>
      <c r="E116" s="13" t="s">
        <v>179</v>
      </c>
      <c r="F116">
        <v>1</v>
      </c>
      <c r="G116"/>
      <c r="H116"/>
      <c r="I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row>
    <row r="117" spans="1:155">
      <c r="A117" s="7" t="s">
        <v>4239</v>
      </c>
      <c r="B117">
        <v>336</v>
      </c>
      <c r="C117">
        <v>1</v>
      </c>
      <c r="D117"/>
      <c r="E117" s="7" t="s">
        <v>3263</v>
      </c>
      <c r="F117">
        <v>3</v>
      </c>
      <c r="G117"/>
      <c r="H117"/>
      <c r="I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row>
    <row r="118" spans="1:155">
      <c r="A118" s="7" t="s">
        <v>4305</v>
      </c>
      <c r="B118">
        <v>340</v>
      </c>
      <c r="C118">
        <v>1</v>
      </c>
      <c r="D118"/>
      <c r="E118" s="13" t="s">
        <v>179</v>
      </c>
      <c r="F118">
        <v>3</v>
      </c>
      <c r="G118"/>
      <c r="H118"/>
      <c r="I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row>
    <row r="119" spans="1:155">
      <c r="A119" s="7" t="s">
        <v>4295</v>
      </c>
      <c r="B119">
        <v>682</v>
      </c>
      <c r="C119">
        <v>1</v>
      </c>
      <c r="D119"/>
      <c r="E119" s="7" t="s">
        <v>366</v>
      </c>
      <c r="F119">
        <v>7</v>
      </c>
      <c r="G119"/>
      <c r="H119"/>
      <c r="I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row>
    <row r="120" spans="1:155">
      <c r="A120" s="7" t="s">
        <v>4272</v>
      </c>
      <c r="B120">
        <v>0</v>
      </c>
      <c r="C120">
        <v>1</v>
      </c>
      <c r="D120"/>
      <c r="E120" s="13" t="s">
        <v>179</v>
      </c>
      <c r="F120">
        <v>7</v>
      </c>
      <c r="G120"/>
      <c r="H120"/>
      <c r="I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row>
    <row r="121" spans="1:155">
      <c r="A121" s="7" t="s">
        <v>3373</v>
      </c>
      <c r="B121">
        <v>167</v>
      </c>
      <c r="C121">
        <v>1</v>
      </c>
      <c r="D121"/>
      <c r="E121" s="7" t="s">
        <v>894</v>
      </c>
      <c r="F121">
        <v>3</v>
      </c>
      <c r="G121"/>
      <c r="H121"/>
      <c r="I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row>
    <row r="122" spans="1:155">
      <c r="A122" s="7" t="s">
        <v>4269</v>
      </c>
      <c r="B122">
        <v>377</v>
      </c>
      <c r="C122">
        <v>1</v>
      </c>
      <c r="D122"/>
      <c r="E122" s="13" t="s">
        <v>179</v>
      </c>
      <c r="F122">
        <v>3</v>
      </c>
      <c r="G122"/>
      <c r="H122"/>
      <c r="I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row>
    <row r="123" spans="1:155">
      <c r="A123" s="7" t="s">
        <v>4358</v>
      </c>
      <c r="B123">
        <v>0</v>
      </c>
      <c r="C123">
        <v>2</v>
      </c>
      <c r="D123"/>
      <c r="E123" s="7" t="s">
        <v>1109</v>
      </c>
      <c r="F123">
        <v>4</v>
      </c>
      <c r="G123"/>
      <c r="H123"/>
      <c r="I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row>
    <row r="124" spans="1:155">
      <c r="A124" s="7" t="s">
        <v>4244</v>
      </c>
      <c r="B124">
        <v>930</v>
      </c>
      <c r="C124">
        <v>2</v>
      </c>
      <c r="D124"/>
      <c r="E124" s="13" t="s">
        <v>179</v>
      </c>
      <c r="F124">
        <v>2</v>
      </c>
      <c r="G124"/>
      <c r="H124"/>
      <c r="I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row>
    <row r="125" spans="1:155">
      <c r="A125" s="7" t="s">
        <v>4292</v>
      </c>
      <c r="B125">
        <v>1108</v>
      </c>
      <c r="C125">
        <v>1</v>
      </c>
      <c r="D125"/>
      <c r="E125" s="13" t="s">
        <v>2335</v>
      </c>
      <c r="F125">
        <v>2</v>
      </c>
      <c r="G125"/>
      <c r="H125"/>
      <c r="I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row>
    <row r="126" spans="1:155">
      <c r="A126" s="7" t="s">
        <v>4294</v>
      </c>
      <c r="B126">
        <v>0</v>
      </c>
      <c r="C126">
        <v>1</v>
      </c>
      <c r="D126"/>
      <c r="E126" s="7" t="s">
        <v>283</v>
      </c>
      <c r="F126">
        <v>7</v>
      </c>
      <c r="G126"/>
      <c r="H126"/>
      <c r="I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row>
    <row r="127" spans="1:155">
      <c r="A127" s="7" t="s">
        <v>4285</v>
      </c>
      <c r="B127">
        <v>295</v>
      </c>
      <c r="C127">
        <v>1</v>
      </c>
      <c r="D127"/>
      <c r="E127" s="13" t="s">
        <v>179</v>
      </c>
      <c r="F127">
        <v>7</v>
      </c>
      <c r="G127"/>
      <c r="H127"/>
      <c r="I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row>
    <row r="128" spans="1:155">
      <c r="A128" s="7" t="s">
        <v>4283</v>
      </c>
      <c r="B128">
        <v>523</v>
      </c>
      <c r="C128">
        <v>1</v>
      </c>
      <c r="D128"/>
      <c r="E128" s="7" t="s">
        <v>2075</v>
      </c>
      <c r="F128">
        <v>4</v>
      </c>
      <c r="G128"/>
      <c r="H128"/>
      <c r="I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row>
    <row r="129" spans="1:155">
      <c r="A129" s="7" t="s">
        <v>4360</v>
      </c>
      <c r="B129">
        <v>0</v>
      </c>
      <c r="C129">
        <v>1</v>
      </c>
      <c r="D129"/>
      <c r="E129" s="13" t="s">
        <v>179</v>
      </c>
      <c r="F129">
        <v>4</v>
      </c>
      <c r="G129"/>
      <c r="H129"/>
      <c r="I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row>
    <row r="130" spans="1:155">
      <c r="A130" s="7" t="s">
        <v>4359</v>
      </c>
      <c r="B130">
        <v>1067</v>
      </c>
      <c r="C130">
        <v>1</v>
      </c>
      <c r="D130"/>
      <c r="E130" s="7" t="s">
        <v>313</v>
      </c>
      <c r="F130">
        <v>8</v>
      </c>
      <c r="G130"/>
      <c r="H130"/>
      <c r="I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row>
    <row r="131" spans="1:155">
      <c r="A131" s="7" t="s">
        <v>4237</v>
      </c>
      <c r="B131">
        <v>934</v>
      </c>
      <c r="C131">
        <v>1</v>
      </c>
      <c r="D131"/>
      <c r="E131" s="13" t="s">
        <v>179</v>
      </c>
      <c r="F131">
        <v>8</v>
      </c>
      <c r="G131"/>
      <c r="H131"/>
      <c r="I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row>
    <row r="132" spans="1:155">
      <c r="A132" s="7" t="s">
        <v>4302</v>
      </c>
      <c r="B132">
        <v>327</v>
      </c>
      <c r="C132">
        <v>1</v>
      </c>
      <c r="D132"/>
      <c r="E132" s="7" t="s">
        <v>475</v>
      </c>
      <c r="F132">
        <v>2</v>
      </c>
      <c r="G132"/>
      <c r="H132"/>
      <c r="I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row>
    <row r="133" spans="1:155">
      <c r="A133" s="7" t="s">
        <v>4321</v>
      </c>
      <c r="B133">
        <v>0</v>
      </c>
      <c r="C133">
        <v>1</v>
      </c>
      <c r="D133"/>
      <c r="E133" s="13" t="s">
        <v>179</v>
      </c>
      <c r="F133">
        <v>2</v>
      </c>
      <c r="G133"/>
      <c r="H133"/>
      <c r="I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row>
    <row r="134" spans="1:155">
      <c r="A134" s="7" t="s">
        <v>4314</v>
      </c>
      <c r="B134">
        <v>412</v>
      </c>
      <c r="C134">
        <v>2</v>
      </c>
      <c r="D134"/>
      <c r="E134" s="7" t="s">
        <v>425</v>
      </c>
      <c r="F134">
        <v>3</v>
      </c>
      <c r="G134"/>
      <c r="H134"/>
      <c r="I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row>
    <row r="135" spans="1:155">
      <c r="A135" s="7" t="s">
        <v>4287</v>
      </c>
      <c r="B135">
        <v>170</v>
      </c>
      <c r="C135">
        <v>1</v>
      </c>
      <c r="D135"/>
      <c r="E135" s="13" t="s">
        <v>179</v>
      </c>
      <c r="F135">
        <v>3</v>
      </c>
      <c r="G135"/>
      <c r="H135"/>
      <c r="I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row>
    <row r="136" spans="1:155">
      <c r="A136" s="7" t="s">
        <v>4293</v>
      </c>
      <c r="B136">
        <v>537.96</v>
      </c>
      <c r="C136">
        <v>1</v>
      </c>
      <c r="D136"/>
      <c r="E136" s="7" t="s">
        <v>4394</v>
      </c>
      <c r="F136">
        <v>185</v>
      </c>
      <c r="G136"/>
      <c r="H136"/>
      <c r="I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row>
    <row r="137" spans="1:155">
      <c r="A137" s="7" t="s">
        <v>4316</v>
      </c>
      <c r="B137">
        <v>0</v>
      </c>
      <c r="C137">
        <v>1</v>
      </c>
      <c r="D137"/>
      <c r="E137"/>
      <c r="F137"/>
      <c r="G137"/>
      <c r="H137"/>
      <c r="I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row>
    <row r="138" spans="1:155">
      <c r="A138" s="7" t="s">
        <v>4311</v>
      </c>
      <c r="B138">
        <v>683</v>
      </c>
      <c r="C138">
        <v>1</v>
      </c>
      <c r="D138"/>
      <c r="E138"/>
      <c r="F138"/>
      <c r="G138"/>
      <c r="H138"/>
      <c r="I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row>
    <row r="139" spans="1:155">
      <c r="A139" s="7" t="s">
        <v>4264</v>
      </c>
      <c r="B139">
        <v>448</v>
      </c>
      <c r="C139">
        <v>1</v>
      </c>
      <c r="D139"/>
      <c r="E139"/>
      <c r="F139"/>
      <c r="G139"/>
      <c r="H139"/>
      <c r="I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row>
    <row r="140" spans="1:155">
      <c r="A140" s="7" t="s">
        <v>4236</v>
      </c>
      <c r="B140">
        <v>0</v>
      </c>
      <c r="C140">
        <v>1</v>
      </c>
      <c r="D140"/>
      <c r="E140"/>
      <c r="F140"/>
      <c r="G140"/>
      <c r="H140"/>
      <c r="I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row>
    <row r="141" spans="1:155">
      <c r="A141" s="7" t="s">
        <v>4231</v>
      </c>
      <c r="B141">
        <v>3004</v>
      </c>
      <c r="C141">
        <v>3</v>
      </c>
      <c r="D141"/>
      <c r="E141"/>
      <c r="F141"/>
      <c r="G141"/>
      <c r="H141"/>
      <c r="I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row>
    <row r="142" spans="1:155">
      <c r="A142" s="7" t="s">
        <v>4330</v>
      </c>
      <c r="B142">
        <v>3867</v>
      </c>
      <c r="C142">
        <v>2</v>
      </c>
      <c r="D142"/>
      <c r="E142"/>
      <c r="F142"/>
      <c r="G142"/>
      <c r="H142"/>
      <c r="I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row>
    <row r="143" spans="1:155">
      <c r="A143" s="7" t="s">
        <v>4315</v>
      </c>
      <c r="B143">
        <v>425</v>
      </c>
      <c r="C143">
        <v>1</v>
      </c>
      <c r="D143"/>
      <c r="E143"/>
      <c r="F143"/>
      <c r="G143"/>
      <c r="H143"/>
      <c r="I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row>
    <row r="144" spans="1:155">
      <c r="A144" s="7" t="s">
        <v>1560</v>
      </c>
      <c r="B144">
        <v>526</v>
      </c>
      <c r="C144">
        <v>2</v>
      </c>
      <c r="D144"/>
      <c r="E144"/>
      <c r="F144"/>
      <c r="G144"/>
      <c r="H144"/>
      <c r="I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row>
    <row r="145" spans="1:155">
      <c r="A145" s="7" t="s">
        <v>4282</v>
      </c>
      <c r="B145">
        <v>0</v>
      </c>
      <c r="C145">
        <v>1</v>
      </c>
      <c r="D145"/>
      <c r="E145"/>
      <c r="F145"/>
      <c r="G145"/>
      <c r="H145"/>
      <c r="I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row>
    <row r="146" spans="1:155">
      <c r="A146" s="7" t="s">
        <v>4298</v>
      </c>
      <c r="B146">
        <v>0</v>
      </c>
      <c r="C146">
        <v>1</v>
      </c>
      <c r="D146"/>
      <c r="E146"/>
      <c r="F146"/>
      <c r="G146"/>
      <c r="H146"/>
      <c r="I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row>
    <row r="147" spans="1:155">
      <c r="A147" s="7" t="s">
        <v>4255</v>
      </c>
      <c r="B147">
        <v>1616</v>
      </c>
      <c r="C147">
        <v>2</v>
      </c>
      <c r="D147"/>
      <c r="E147"/>
      <c r="F147"/>
      <c r="G147"/>
      <c r="H147"/>
      <c r="I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row>
    <row r="148" spans="1:155">
      <c r="A148" s="7" t="s">
        <v>4248</v>
      </c>
      <c r="B148">
        <v>708</v>
      </c>
      <c r="C148">
        <v>1</v>
      </c>
      <c r="D148"/>
      <c r="E148"/>
      <c r="F148"/>
      <c r="G148"/>
      <c r="H148"/>
      <c r="I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row>
    <row r="149" spans="1:155">
      <c r="A149" s="7" t="s">
        <v>4227</v>
      </c>
      <c r="B149">
        <v>1719</v>
      </c>
      <c r="C149">
        <v>1</v>
      </c>
      <c r="D149"/>
      <c r="E149"/>
      <c r="F149"/>
      <c r="G149"/>
      <c r="H149"/>
      <c r="I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row>
    <row r="150" spans="1:155">
      <c r="A150" s="7" t="s">
        <v>4338</v>
      </c>
      <c r="B150">
        <v>165</v>
      </c>
      <c r="C150">
        <v>1</v>
      </c>
      <c r="D150"/>
      <c r="E150"/>
      <c r="F150"/>
      <c r="G150"/>
      <c r="H150"/>
      <c r="I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row>
    <row r="151" spans="1:155">
      <c r="A151" s="7" t="s">
        <v>4307</v>
      </c>
      <c r="B151">
        <v>557</v>
      </c>
      <c r="C151">
        <v>4</v>
      </c>
      <c r="D151"/>
      <c r="E151"/>
      <c r="F151"/>
      <c r="G151"/>
      <c r="H151"/>
      <c r="I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row>
    <row r="152" spans="1:155">
      <c r="A152" s="7" t="s">
        <v>4251</v>
      </c>
      <c r="B152">
        <v>0</v>
      </c>
      <c r="C152">
        <v>1</v>
      </c>
      <c r="D152"/>
      <c r="E152"/>
      <c r="F152"/>
      <c r="G152"/>
      <c r="H152"/>
      <c r="I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row>
    <row r="153" spans="1:9">
      <c r="A153" s="7" t="s">
        <v>4350</v>
      </c>
      <c r="B153">
        <v>0</v>
      </c>
      <c r="C153">
        <v>1</v>
      </c>
      <c r="D153"/>
      <c r="E153"/>
      <c r="F153"/>
      <c r="G153"/>
      <c r="H153"/>
      <c r="I153"/>
    </row>
    <row r="154" spans="1:9">
      <c r="A154" s="7" t="s">
        <v>4335</v>
      </c>
      <c r="B154">
        <v>346</v>
      </c>
      <c r="C154">
        <v>1</v>
      </c>
      <c r="D154"/>
      <c r="E154"/>
      <c r="F154"/>
      <c r="G154"/>
      <c r="H154"/>
      <c r="I154"/>
    </row>
    <row r="155" spans="1:9">
      <c r="A155" s="7" t="s">
        <v>4235</v>
      </c>
      <c r="B155">
        <v>869</v>
      </c>
      <c r="C155">
        <v>1</v>
      </c>
      <c r="D155"/>
      <c r="E155"/>
      <c r="F155"/>
      <c r="G155"/>
      <c r="H155"/>
      <c r="I155"/>
    </row>
    <row r="156" spans="1:9">
      <c r="A156" s="7" t="s">
        <v>4240</v>
      </c>
      <c r="B156">
        <v>754</v>
      </c>
      <c r="C156">
        <v>2</v>
      </c>
      <c r="D156"/>
      <c r="E156"/>
      <c r="F156"/>
      <c r="G156"/>
      <c r="H156"/>
      <c r="I156"/>
    </row>
    <row r="157" spans="1:9">
      <c r="A157" s="7" t="s">
        <v>4342</v>
      </c>
      <c r="B157">
        <v>374</v>
      </c>
      <c r="C157">
        <v>1</v>
      </c>
      <c r="D157"/>
      <c r="E157"/>
      <c r="F157"/>
      <c r="G157"/>
      <c r="H157"/>
      <c r="I157"/>
    </row>
    <row r="158" spans="1:9">
      <c r="A158" s="7" t="s">
        <v>4232</v>
      </c>
      <c r="B158">
        <v>0</v>
      </c>
      <c r="C158">
        <v>1</v>
      </c>
      <c r="D158"/>
      <c r="E158"/>
      <c r="F158"/>
      <c r="G158"/>
      <c r="H158"/>
      <c r="I158"/>
    </row>
    <row r="159" spans="1:9">
      <c r="A159" s="7" t="s">
        <v>4233</v>
      </c>
      <c r="B159">
        <v>1062</v>
      </c>
      <c r="C159">
        <v>2</v>
      </c>
      <c r="D159"/>
      <c r="E159"/>
      <c r="F159"/>
      <c r="G159"/>
      <c r="H159"/>
      <c r="I159"/>
    </row>
    <row r="160" spans="1:9">
      <c r="A160" s="7" t="s">
        <v>4226</v>
      </c>
      <c r="B160">
        <v>997</v>
      </c>
      <c r="C160">
        <v>2</v>
      </c>
      <c r="D160"/>
      <c r="E160"/>
      <c r="F160"/>
      <c r="G160"/>
      <c r="H160"/>
      <c r="I160"/>
    </row>
    <row r="161" spans="1:9">
      <c r="A161" s="7" t="s">
        <v>4238</v>
      </c>
      <c r="B161">
        <v>0</v>
      </c>
      <c r="C161">
        <v>1</v>
      </c>
      <c r="D161"/>
      <c r="E161"/>
      <c r="F161"/>
      <c r="G161"/>
      <c r="H161"/>
      <c r="I161"/>
    </row>
    <row r="162" spans="1:9">
      <c r="A162" s="7" t="s">
        <v>4356</v>
      </c>
      <c r="B162">
        <v>788</v>
      </c>
      <c r="C162">
        <v>2</v>
      </c>
      <c r="D162"/>
      <c r="E162"/>
      <c r="F162"/>
      <c r="G162"/>
      <c r="H162"/>
      <c r="I162"/>
    </row>
    <row r="163" spans="1:9">
      <c r="A163" s="7" t="s">
        <v>4323</v>
      </c>
      <c r="B163">
        <v>414</v>
      </c>
      <c r="C163">
        <v>1</v>
      </c>
      <c r="D163"/>
      <c r="E163"/>
      <c r="F163"/>
      <c r="G163"/>
      <c r="H163"/>
      <c r="I163"/>
    </row>
    <row r="164" spans="1:9">
      <c r="A164" s="7" t="s">
        <v>4246</v>
      </c>
      <c r="B164">
        <v>350</v>
      </c>
      <c r="C164">
        <v>1</v>
      </c>
      <c r="D164"/>
      <c r="E164"/>
      <c r="F164"/>
      <c r="G164"/>
      <c r="H164"/>
      <c r="I164"/>
    </row>
    <row r="165" spans="1:9">
      <c r="A165" s="7" t="s">
        <v>4278</v>
      </c>
      <c r="B165">
        <v>0</v>
      </c>
      <c r="C165">
        <v>1</v>
      </c>
      <c r="D165"/>
      <c r="E165"/>
      <c r="F165"/>
      <c r="G165"/>
      <c r="H165"/>
      <c r="I165"/>
    </row>
    <row r="166" spans="1:9">
      <c r="A166" s="7" t="s">
        <v>1370</v>
      </c>
      <c r="B166">
        <v>339</v>
      </c>
      <c r="C166">
        <v>1</v>
      </c>
      <c r="D166"/>
      <c r="E166"/>
      <c r="F166"/>
      <c r="G166"/>
      <c r="H166"/>
      <c r="I166"/>
    </row>
    <row r="167" spans="1:9">
      <c r="A167" s="7" t="s">
        <v>4340</v>
      </c>
      <c r="B167">
        <v>0</v>
      </c>
      <c r="C167">
        <v>3</v>
      </c>
      <c r="D167"/>
      <c r="E167"/>
      <c r="F167"/>
      <c r="G167"/>
      <c r="H167"/>
      <c r="I167"/>
    </row>
    <row r="168" spans="1:9">
      <c r="A168" s="7" t="s">
        <v>4322</v>
      </c>
      <c r="B168">
        <v>0</v>
      </c>
      <c r="C168">
        <v>1</v>
      </c>
      <c r="D168"/>
      <c r="E168"/>
      <c r="F168"/>
      <c r="G168"/>
      <c r="H168"/>
      <c r="I168"/>
    </row>
    <row r="169" spans="1:9">
      <c r="A169" s="7" t="s">
        <v>4247</v>
      </c>
      <c r="B169">
        <v>356</v>
      </c>
      <c r="C169">
        <v>1</v>
      </c>
      <c r="D169"/>
      <c r="E169"/>
      <c r="F169"/>
      <c r="G169"/>
      <c r="H169"/>
      <c r="I169"/>
    </row>
    <row r="170" spans="1:9">
      <c r="A170" s="7" t="s">
        <v>1690</v>
      </c>
      <c r="B170">
        <v>361</v>
      </c>
      <c r="C170">
        <v>1</v>
      </c>
      <c r="D170"/>
      <c r="E170"/>
      <c r="F170"/>
      <c r="G170"/>
      <c r="H170"/>
      <c r="I170"/>
    </row>
    <row r="171" spans="1:9">
      <c r="A171" s="7" t="s">
        <v>4279</v>
      </c>
      <c r="B171">
        <v>713</v>
      </c>
      <c r="C171">
        <v>1</v>
      </c>
      <c r="D171"/>
      <c r="E171"/>
      <c r="F171"/>
      <c r="G171"/>
      <c r="H171"/>
      <c r="I171"/>
    </row>
    <row r="172" spans="1:9">
      <c r="A172" s="7" t="s">
        <v>4328</v>
      </c>
      <c r="B172">
        <v>348</v>
      </c>
      <c r="C172">
        <v>1</v>
      </c>
      <c r="D172"/>
      <c r="E172"/>
      <c r="F172"/>
      <c r="G172"/>
      <c r="H172"/>
      <c r="I172"/>
    </row>
    <row r="173" spans="1:9">
      <c r="A173" s="7" t="s">
        <v>4281</v>
      </c>
      <c r="B173">
        <v>1179</v>
      </c>
      <c r="C173">
        <v>1</v>
      </c>
      <c r="D173"/>
      <c r="E173"/>
      <c r="F173"/>
      <c r="G173"/>
      <c r="H173"/>
      <c r="I173"/>
    </row>
    <row r="174" spans="1:9">
      <c r="A174" s="7" t="s">
        <v>4261</v>
      </c>
      <c r="B174">
        <v>722</v>
      </c>
      <c r="C174">
        <v>2</v>
      </c>
      <c r="D174"/>
      <c r="E174"/>
      <c r="F174"/>
      <c r="G174"/>
      <c r="H174"/>
      <c r="I174"/>
    </row>
    <row r="175" spans="1:9">
      <c r="A175" s="7" t="s">
        <v>4318</v>
      </c>
      <c r="B175">
        <v>335</v>
      </c>
      <c r="C175">
        <v>1</v>
      </c>
      <c r="D175"/>
      <c r="E175"/>
      <c r="F175"/>
      <c r="G175"/>
      <c r="H175"/>
      <c r="I175"/>
    </row>
    <row r="176" spans="1:9">
      <c r="A176" s="7" t="s">
        <v>4266</v>
      </c>
      <c r="B176">
        <v>367</v>
      </c>
      <c r="C176">
        <v>1</v>
      </c>
      <c r="D176"/>
      <c r="E176"/>
      <c r="F176"/>
      <c r="G176"/>
      <c r="H176"/>
      <c r="I176"/>
    </row>
    <row r="177" spans="1:9">
      <c r="A177" s="7" t="s">
        <v>4344</v>
      </c>
      <c r="B177">
        <v>0</v>
      </c>
      <c r="C177">
        <v>1</v>
      </c>
      <c r="D177"/>
      <c r="E177"/>
      <c r="F177"/>
      <c r="G177"/>
      <c r="H177"/>
      <c r="I177"/>
    </row>
    <row r="178" spans="1:9">
      <c r="A178" s="7" t="s">
        <v>4259</v>
      </c>
      <c r="B178">
        <v>1166</v>
      </c>
      <c r="C178">
        <v>3</v>
      </c>
      <c r="D178"/>
      <c r="E178"/>
      <c r="F178"/>
      <c r="G178"/>
      <c r="H178"/>
      <c r="I178"/>
    </row>
    <row r="179" spans="1:9">
      <c r="A179" s="7" t="s">
        <v>4276</v>
      </c>
      <c r="B179">
        <v>1656</v>
      </c>
      <c r="C179">
        <v>2</v>
      </c>
      <c r="D179"/>
      <c r="E179"/>
      <c r="F179"/>
      <c r="G179"/>
      <c r="H179"/>
      <c r="I179"/>
    </row>
    <row r="180" spans="1:9">
      <c r="A180" s="7" t="s">
        <v>4353</v>
      </c>
      <c r="B180">
        <v>383</v>
      </c>
      <c r="C180">
        <v>1</v>
      </c>
      <c r="D180"/>
      <c r="E180"/>
      <c r="F180"/>
      <c r="G180"/>
      <c r="H180"/>
      <c r="I180"/>
    </row>
    <row r="181" spans="1:9">
      <c r="A181" s="7" t="s">
        <v>4229</v>
      </c>
      <c r="B181">
        <v>742</v>
      </c>
      <c r="C181">
        <v>2</v>
      </c>
      <c r="D181"/>
      <c r="E181"/>
      <c r="F181"/>
      <c r="G181"/>
      <c r="H181"/>
      <c r="I181"/>
    </row>
    <row r="182" spans="1:9">
      <c r="A182" s="7" t="s">
        <v>4394</v>
      </c>
      <c r="B182">
        <v>80754.96</v>
      </c>
      <c r="C182">
        <v>185</v>
      </c>
      <c r="D182"/>
      <c r="E182"/>
      <c r="F182"/>
      <c r="G182"/>
      <c r="H182"/>
      <c r="I182"/>
    </row>
    <row r="183" spans="1:9">
      <c r="A183"/>
      <c r="B183"/>
      <c r="C183"/>
      <c r="D183"/>
      <c r="E183"/>
      <c r="F183"/>
      <c r="G183"/>
      <c r="H183"/>
      <c r="I183"/>
    </row>
    <row r="184" spans="1:9">
      <c r="A184"/>
      <c r="B184"/>
      <c r="C184"/>
      <c r="D184"/>
      <c r="E184"/>
      <c r="F184"/>
      <c r="G184"/>
      <c r="H184"/>
      <c r="I184"/>
    </row>
    <row r="185" spans="1:9">
      <c r="A185"/>
      <c r="B185"/>
      <c r="C185"/>
      <c r="D185"/>
      <c r="E185"/>
      <c r="F185"/>
      <c r="G185"/>
      <c r="H185"/>
      <c r="I185"/>
    </row>
    <row r="186" spans="1:9">
      <c r="A186"/>
      <c r="B186"/>
      <c r="C186"/>
      <c r="D186"/>
      <c r="E186"/>
      <c r="F186"/>
      <c r="G186"/>
      <c r="H186"/>
      <c r="I186"/>
    </row>
    <row r="187" spans="1:9">
      <c r="A187"/>
      <c r="B187"/>
      <c r="C187"/>
      <c r="D187"/>
      <c r="E187"/>
      <c r="F187"/>
      <c r="G187"/>
      <c r="H187"/>
      <c r="I187"/>
    </row>
    <row r="188" spans="1:9">
      <c r="A188"/>
      <c r="B188"/>
      <c r="C188"/>
      <c r="D188"/>
      <c r="E188"/>
      <c r="F188"/>
      <c r="G188"/>
      <c r="H188"/>
      <c r="I188"/>
    </row>
    <row r="189" spans="1:9">
      <c r="A189"/>
      <c r="B189"/>
      <c r="C189"/>
      <c r="D189"/>
      <c r="E189"/>
      <c r="F189"/>
      <c r="G189"/>
      <c r="H189"/>
      <c r="I189"/>
    </row>
    <row r="190" spans="1:9">
      <c r="A190"/>
      <c r="B190"/>
      <c r="C190"/>
      <c r="D190"/>
      <c r="E190"/>
      <c r="F190"/>
      <c r="G190"/>
      <c r="H190"/>
      <c r="I190"/>
    </row>
    <row r="191" spans="1:9">
      <c r="A191"/>
      <c r="B191"/>
      <c r="C191"/>
      <c r="D191"/>
      <c r="E191"/>
      <c r="F191"/>
      <c r="G191"/>
      <c r="H191"/>
      <c r="I191"/>
    </row>
    <row r="192" spans="1:9">
      <c r="A192"/>
      <c r="B192"/>
      <c r="C192"/>
      <c r="D192"/>
      <c r="E192"/>
      <c r="F192"/>
      <c r="G192"/>
      <c r="H192"/>
      <c r="I192"/>
    </row>
    <row r="193" spans="1:9">
      <c r="A193"/>
      <c r="B193"/>
      <c r="C193"/>
      <c r="D193"/>
      <c r="E193"/>
      <c r="F193"/>
      <c r="G193"/>
      <c r="H193"/>
      <c r="I193"/>
    </row>
    <row r="194" spans="1:9">
      <c r="A194"/>
      <c r="B194"/>
      <c r="C194"/>
      <c r="D194"/>
      <c r="E194"/>
      <c r="F194"/>
      <c r="G194"/>
      <c r="H194"/>
      <c r="I194"/>
    </row>
    <row r="195" spans="1:9">
      <c r="A195"/>
      <c r="B195"/>
      <c r="C195"/>
      <c r="D195"/>
      <c r="E195"/>
      <c r="F195"/>
      <c r="G195"/>
      <c r="H195"/>
      <c r="I195"/>
    </row>
    <row r="196" spans="1:9">
      <c r="A196"/>
      <c r="B196"/>
      <c r="C196"/>
      <c r="D196"/>
      <c r="E196"/>
      <c r="F196"/>
      <c r="G196"/>
      <c r="H196"/>
      <c r="I196"/>
    </row>
    <row r="197" spans="1:9">
      <c r="A197"/>
      <c r="B197"/>
      <c r="C197"/>
      <c r="D197"/>
      <c r="E197"/>
      <c r="F197"/>
      <c r="G197"/>
      <c r="H197"/>
      <c r="I197"/>
    </row>
    <row r="198" spans="1:9">
      <c r="A198"/>
      <c r="B198"/>
      <c r="C198"/>
      <c r="D198"/>
      <c r="E198"/>
      <c r="F198"/>
      <c r="G198"/>
      <c r="H198"/>
      <c r="I198"/>
    </row>
    <row r="199" spans="1:9">
      <c r="A199"/>
      <c r="B199"/>
      <c r="C199"/>
      <c r="D199"/>
      <c r="E199"/>
      <c r="F199"/>
      <c r="G199"/>
      <c r="H199"/>
      <c r="I199"/>
    </row>
    <row r="200" spans="1:9">
      <c r="A200"/>
      <c r="B200"/>
      <c r="C200"/>
      <c r="D200"/>
      <c r="E200"/>
      <c r="F200"/>
      <c r="G200"/>
      <c r="H200"/>
      <c r="I200"/>
    </row>
    <row r="201" spans="2:9">
      <c r="B201"/>
      <c r="C201"/>
      <c r="D201"/>
      <c r="E201"/>
      <c r="F201"/>
      <c r="G201"/>
      <c r="H201"/>
      <c r="I201"/>
    </row>
    <row r="202" spans="2:9">
      <c r="B202"/>
      <c r="C202"/>
      <c r="D202"/>
      <c r="E202"/>
      <c r="F202"/>
      <c r="G202"/>
      <c r="H202"/>
      <c r="I202"/>
    </row>
    <row r="203" spans="2:9">
      <c r="B203"/>
      <c r="C203"/>
      <c r="D203"/>
      <c r="E203"/>
      <c r="F203"/>
      <c r="G203"/>
      <c r="H203"/>
      <c r="I203"/>
    </row>
    <row r="204" spans="2:9">
      <c r="B204"/>
      <c r="C204"/>
      <c r="D204"/>
      <c r="E204"/>
      <c r="F204"/>
      <c r="G204"/>
      <c r="H204"/>
      <c r="I204"/>
    </row>
    <row r="205" spans="2:9">
      <c r="B205"/>
      <c r="C205"/>
      <c r="D205"/>
      <c r="E205"/>
      <c r="F205"/>
      <c r="G205"/>
      <c r="H205"/>
      <c r="I205"/>
    </row>
    <row r="206" spans="2:9">
      <c r="B206"/>
      <c r="C206"/>
      <c r="D206"/>
      <c r="E206"/>
      <c r="F206"/>
      <c r="G206"/>
      <c r="H206"/>
      <c r="I206"/>
    </row>
    <row r="207" spans="2:9">
      <c r="B207"/>
      <c r="C207"/>
      <c r="D207"/>
      <c r="E207"/>
      <c r="F207"/>
      <c r="G207"/>
      <c r="H207"/>
      <c r="I207"/>
    </row>
    <row r="208" spans="2:9">
      <c r="B208"/>
      <c r="C208"/>
      <c r="D208"/>
      <c r="E208"/>
      <c r="F208"/>
      <c r="G208"/>
      <c r="H208"/>
      <c r="I208"/>
    </row>
    <row r="209" spans="2:9">
      <c r="B209"/>
      <c r="C209"/>
      <c r="D209"/>
      <c r="E209"/>
      <c r="F209"/>
      <c r="G209"/>
      <c r="H209"/>
      <c r="I209"/>
    </row>
    <row r="210" spans="2:9">
      <c r="B210"/>
      <c r="C210"/>
      <c r="D210"/>
      <c r="E210"/>
      <c r="F210"/>
      <c r="G210"/>
      <c r="H210"/>
      <c r="I210"/>
    </row>
    <row r="211" spans="2:9">
      <c r="B211"/>
      <c r="C211"/>
      <c r="D211"/>
      <c r="E211"/>
      <c r="F211"/>
      <c r="G211"/>
      <c r="H211"/>
      <c r="I211"/>
    </row>
    <row r="212" spans="2:9">
      <c r="B212"/>
      <c r="C212"/>
      <c r="D212"/>
      <c r="E212"/>
      <c r="F212"/>
      <c r="G212"/>
      <c r="H212"/>
      <c r="I212"/>
    </row>
    <row r="213" spans="2:9">
      <c r="B213"/>
      <c r="C213"/>
      <c r="D213"/>
      <c r="E213"/>
      <c r="F213"/>
      <c r="G213"/>
      <c r="H213"/>
      <c r="I213"/>
    </row>
    <row r="214" spans="2:9">
      <c r="B214"/>
      <c r="C214"/>
      <c r="D214"/>
      <c r="E214"/>
      <c r="F214"/>
      <c r="G214"/>
      <c r="H214"/>
      <c r="I214"/>
    </row>
    <row r="215" spans="2:9">
      <c r="B215"/>
      <c r="C215"/>
      <c r="D215"/>
      <c r="E215"/>
      <c r="F215"/>
      <c r="G215"/>
      <c r="H215"/>
      <c r="I215"/>
    </row>
    <row r="216" spans="2:9">
      <c r="B216"/>
      <c r="C216"/>
      <c r="D216"/>
      <c r="E216"/>
      <c r="F216"/>
      <c r="G216"/>
      <c r="H216"/>
      <c r="I216"/>
    </row>
    <row r="217" spans="2:9">
      <c r="B217"/>
      <c r="C217"/>
      <c r="D217"/>
      <c r="E217"/>
      <c r="F217"/>
      <c r="G217"/>
      <c r="H217"/>
      <c r="I217"/>
    </row>
    <row r="218" spans="2:9">
      <c r="B218"/>
      <c r="C218"/>
      <c r="D218"/>
      <c r="E218"/>
      <c r="F218"/>
      <c r="G218"/>
      <c r="H218"/>
      <c r="I218"/>
    </row>
    <row r="219" spans="2:9">
      <c r="B219"/>
      <c r="C219"/>
      <c r="D219"/>
      <c r="E219"/>
      <c r="F219"/>
      <c r="G219"/>
      <c r="H219"/>
      <c r="I219"/>
    </row>
    <row r="220" spans="2:9">
      <c r="B220"/>
      <c r="C220"/>
      <c r="D220"/>
      <c r="E220"/>
      <c r="F220"/>
      <c r="G220"/>
      <c r="H220"/>
      <c r="I220"/>
    </row>
    <row r="221" spans="2:9">
      <c r="B221"/>
      <c r="C221"/>
      <c r="D221"/>
      <c r="E221"/>
      <c r="F221"/>
      <c r="G221"/>
      <c r="H221"/>
      <c r="I221"/>
    </row>
    <row r="222" spans="2:9">
      <c r="B222"/>
      <c r="C222"/>
      <c r="D222"/>
      <c r="E222"/>
      <c r="F222"/>
      <c r="G222"/>
      <c r="H222"/>
      <c r="I222"/>
    </row>
    <row r="223" spans="2:9">
      <c r="B223"/>
      <c r="C223"/>
      <c r="D223"/>
      <c r="E223"/>
      <c r="F223"/>
      <c r="G223"/>
      <c r="H223"/>
      <c r="I223"/>
    </row>
    <row r="224" spans="2:9">
      <c r="B224"/>
      <c r="C224"/>
      <c r="D224"/>
      <c r="E224"/>
      <c r="F224"/>
      <c r="G224"/>
      <c r="H224"/>
      <c r="I224"/>
    </row>
    <row r="225" spans="2:9">
      <c r="B225"/>
      <c r="C225"/>
      <c r="D225"/>
      <c r="E225"/>
      <c r="F225"/>
      <c r="G225"/>
      <c r="H225"/>
      <c r="I225"/>
    </row>
    <row r="226" spans="2:9">
      <c r="B226"/>
      <c r="C226"/>
      <c r="D226"/>
      <c r="E226"/>
      <c r="F226"/>
      <c r="G226"/>
      <c r="H226"/>
      <c r="I226"/>
    </row>
    <row r="227" spans="2:9">
      <c r="B227"/>
      <c r="C227"/>
      <c r="D227"/>
      <c r="E227"/>
      <c r="F227"/>
      <c r="G227"/>
      <c r="H227"/>
      <c r="I227"/>
    </row>
    <row r="228" spans="2:9">
      <c r="B228"/>
      <c r="C228"/>
      <c r="D228"/>
      <c r="E228"/>
      <c r="F228"/>
      <c r="G228"/>
      <c r="H228"/>
      <c r="I228"/>
    </row>
    <row r="229" spans="2:9">
      <c r="B229"/>
      <c r="C229"/>
      <c r="D229"/>
      <c r="E229"/>
      <c r="F229"/>
      <c r="G229"/>
      <c r="H229"/>
      <c r="I229"/>
    </row>
    <row r="230" spans="2:9">
      <c r="B230"/>
      <c r="C230"/>
      <c r="D230"/>
      <c r="E230"/>
      <c r="F230"/>
      <c r="G230"/>
      <c r="H230"/>
      <c r="I230"/>
    </row>
    <row r="231" spans="2:9">
      <c r="B231"/>
      <c r="C231"/>
      <c r="D231"/>
      <c r="E231"/>
      <c r="F231"/>
      <c r="G231"/>
      <c r="H231"/>
      <c r="I231"/>
    </row>
    <row r="232" spans="2:9">
      <c r="B232"/>
      <c r="C232"/>
      <c r="D232"/>
      <c r="E232"/>
      <c r="F232"/>
      <c r="G232"/>
      <c r="H232"/>
      <c r="I232"/>
    </row>
    <row r="233" spans="2:9">
      <c r="B233"/>
      <c r="C233"/>
      <c r="D233"/>
      <c r="E233"/>
      <c r="F233"/>
      <c r="G233"/>
      <c r="H233"/>
      <c r="I233"/>
    </row>
    <row r="234" spans="2:9">
      <c r="B234"/>
      <c r="C234"/>
      <c r="D234"/>
      <c r="E234"/>
      <c r="F234"/>
      <c r="G234"/>
      <c r="H234"/>
      <c r="I234"/>
    </row>
    <row r="235" spans="2:9">
      <c r="B235"/>
      <c r="C235"/>
      <c r="D235"/>
      <c r="E235"/>
      <c r="F235"/>
      <c r="G235"/>
      <c r="H235"/>
      <c r="I235"/>
    </row>
    <row r="236" spans="2:9">
      <c r="B236"/>
      <c r="C236"/>
      <c r="D236"/>
      <c r="E236"/>
      <c r="F236"/>
      <c r="G236"/>
      <c r="H236"/>
      <c r="I236"/>
    </row>
    <row r="237" spans="2:9">
      <c r="B237"/>
      <c r="C237"/>
      <c r="D237"/>
      <c r="E237"/>
      <c r="F237"/>
      <c r="G237"/>
      <c r="H237"/>
      <c r="I237"/>
    </row>
    <row r="238" spans="2:9">
      <c r="B238"/>
      <c r="C238"/>
      <c r="D238"/>
      <c r="E238"/>
      <c r="F238"/>
      <c r="G238"/>
      <c r="H238"/>
      <c r="I238"/>
    </row>
    <row r="239" spans="2:9">
      <c r="B239"/>
      <c r="C239"/>
      <c r="D239"/>
      <c r="E239"/>
      <c r="F239"/>
      <c r="G239"/>
      <c r="H239"/>
      <c r="I239"/>
    </row>
    <row r="240" spans="2:9">
      <c r="B240"/>
      <c r="C240"/>
      <c r="D240"/>
      <c r="E240"/>
      <c r="F240"/>
      <c r="G240"/>
      <c r="H240"/>
      <c r="I240"/>
    </row>
    <row r="241" spans="2:9">
      <c r="B241"/>
      <c r="C241"/>
      <c r="D241"/>
      <c r="E241"/>
      <c r="F241"/>
      <c r="G241"/>
      <c r="H241"/>
      <c r="I241"/>
    </row>
    <row r="242" spans="2:9">
      <c r="B242"/>
      <c r="C242"/>
      <c r="D242"/>
      <c r="E242"/>
      <c r="F242"/>
      <c r="G242"/>
      <c r="H242"/>
      <c r="I242"/>
    </row>
    <row r="243" spans="2:9">
      <c r="B243"/>
      <c r="C243"/>
      <c r="D243"/>
      <c r="E243"/>
      <c r="F243"/>
      <c r="G243"/>
      <c r="H243"/>
      <c r="I243"/>
    </row>
    <row r="244" spans="2:9">
      <c r="B244"/>
      <c r="C244"/>
      <c r="D244"/>
      <c r="E244"/>
      <c r="F244"/>
      <c r="G244"/>
      <c r="H244"/>
      <c r="I244"/>
    </row>
    <row r="245" spans="2:9">
      <c r="B245"/>
      <c r="C245"/>
      <c r="D245"/>
      <c r="E245"/>
      <c r="F245"/>
      <c r="G245"/>
      <c r="H245"/>
      <c r="I245"/>
    </row>
    <row r="246" spans="2:9">
      <c r="B246"/>
      <c r="C246"/>
      <c r="D246"/>
      <c r="E246"/>
      <c r="F246"/>
      <c r="G246"/>
      <c r="H246"/>
      <c r="I246"/>
    </row>
    <row r="247" spans="2:9">
      <c r="B247"/>
      <c r="C247"/>
      <c r="D247"/>
      <c r="E247"/>
      <c r="F247"/>
      <c r="G247"/>
      <c r="H247"/>
      <c r="I247"/>
    </row>
    <row r="248" spans="2:9">
      <c r="B248"/>
      <c r="C248"/>
      <c r="D248"/>
      <c r="E248"/>
      <c r="F248"/>
      <c r="G248"/>
      <c r="H248"/>
      <c r="I248"/>
    </row>
    <row r="249" spans="2:9">
      <c r="B249"/>
      <c r="C249"/>
      <c r="D249"/>
      <c r="E249"/>
      <c r="F249"/>
      <c r="G249"/>
      <c r="H249"/>
      <c r="I249"/>
    </row>
    <row r="250" spans="2:9">
      <c r="B250"/>
      <c r="C250"/>
      <c r="D250"/>
      <c r="E250"/>
      <c r="F250"/>
      <c r="G250"/>
      <c r="H250"/>
      <c r="I250"/>
    </row>
    <row r="251" spans="2:9">
      <c r="B251"/>
      <c r="C251"/>
      <c r="D251"/>
      <c r="E251"/>
      <c r="F251"/>
      <c r="G251"/>
      <c r="H251"/>
      <c r="I251"/>
    </row>
    <row r="252" spans="2:9">
      <c r="B252"/>
      <c r="C252"/>
      <c r="D252"/>
      <c r="E252"/>
      <c r="F252"/>
      <c r="G252"/>
      <c r="H252"/>
      <c r="I252"/>
    </row>
    <row r="253" spans="2:9">
      <c r="B253"/>
      <c r="C253"/>
      <c r="D253"/>
      <c r="E253"/>
      <c r="F253"/>
      <c r="G253"/>
      <c r="H253"/>
      <c r="I253"/>
    </row>
    <row r="254" spans="2:9">
      <c r="B254"/>
      <c r="C254"/>
      <c r="D254"/>
      <c r="E254"/>
      <c r="F254"/>
      <c r="G254"/>
      <c r="H254"/>
      <c r="I254"/>
    </row>
    <row r="255" spans="2:9">
      <c r="B255"/>
      <c r="C255"/>
      <c r="D255"/>
      <c r="E255"/>
      <c r="F255"/>
      <c r="G255"/>
      <c r="H255"/>
      <c r="I255"/>
    </row>
    <row r="256" spans="2:9">
      <c r="B256"/>
      <c r="C256"/>
      <c r="D256"/>
      <c r="E256"/>
      <c r="F256"/>
      <c r="G256"/>
      <c r="H256"/>
      <c r="I256"/>
    </row>
    <row r="257" spans="5:5">
      <c r="E257"/>
    </row>
    <row r="258" spans="5:5">
      <c r="E258"/>
    </row>
    <row r="259" spans="5:5">
      <c r="E259"/>
    </row>
    <row r="260" spans="5:5">
      <c r="E260"/>
    </row>
    <row r="261" spans="5:5">
      <c r="E261"/>
    </row>
    <row r="262" spans="5:5">
      <c r="E262"/>
    </row>
    <row r="263" spans="5:5">
      <c r="E263"/>
    </row>
    <row r="264" spans="5:5">
      <c r="E264"/>
    </row>
    <row r="265" spans="5:5">
      <c r="E265"/>
    </row>
    <row r="266" spans="5:5">
      <c r="E266"/>
    </row>
    <row r="267" spans="5:5">
      <c r="E267"/>
    </row>
    <row r="268" spans="5:5">
      <c r="E268"/>
    </row>
    <row r="269" spans="5:5">
      <c r="E269"/>
    </row>
    <row r="270" spans="5:5">
      <c r="E270"/>
    </row>
    <row r="271" spans="5:5">
      <c r="E271"/>
    </row>
    <row r="272" spans="5:5">
      <c r="E272"/>
    </row>
    <row r="273" spans="5:5">
      <c r="E273"/>
    </row>
    <row r="274" spans="5:5">
      <c r="E274"/>
    </row>
    <row r="275" spans="5:5">
      <c r="E275"/>
    </row>
    <row r="276" spans="5:5">
      <c r="E276"/>
    </row>
    <row r="277" spans="5:5">
      <c r="E277"/>
    </row>
    <row r="278" spans="5:5">
      <c r="E278"/>
    </row>
    <row r="279" spans="5:5">
      <c r="E279"/>
    </row>
    <row r="280" spans="5:5">
      <c r="E280"/>
    </row>
    <row r="281" spans="5:5">
      <c r="E281"/>
    </row>
    <row r="282" spans="5:5">
      <c r="E282"/>
    </row>
    <row r="283" spans="5:5">
      <c r="E283"/>
    </row>
    <row r="284" spans="5:5">
      <c r="E284"/>
    </row>
    <row r="285" spans="5:5">
      <c r="E285"/>
    </row>
    <row r="286" spans="5:5">
      <c r="E286"/>
    </row>
    <row r="287" spans="5:5">
      <c r="E287"/>
    </row>
    <row r="288" spans="5:5">
      <c r="E288"/>
    </row>
    <row r="289" spans="5:5">
      <c r="E289"/>
    </row>
    <row r="290" spans="5:5">
      <c r="E290"/>
    </row>
    <row r="291" spans="5:5">
      <c r="E291"/>
    </row>
    <row r="292" spans="5:5">
      <c r="E292"/>
    </row>
    <row r="293" spans="5:5">
      <c r="E293"/>
    </row>
    <row r="294" spans="5:5">
      <c r="E294"/>
    </row>
    <row r="295" spans="5:5">
      <c r="E295"/>
    </row>
    <row r="296" spans="5:5">
      <c r="E296"/>
    </row>
    <row r="297" spans="5:5">
      <c r="E297"/>
    </row>
    <row r="298" spans="5:5">
      <c r="E298"/>
    </row>
    <row r="299" spans="5:5">
      <c r="E299"/>
    </row>
    <row r="300" spans="5:5">
      <c r="E300"/>
    </row>
    <row r="301" spans="5:5">
      <c r="E301"/>
    </row>
    <row r="302" spans="5:5">
      <c r="E302"/>
    </row>
    <row r="303" spans="5:5">
      <c r="E303"/>
    </row>
    <row r="304" spans="5:5">
      <c r="E304"/>
    </row>
    <row r="305" spans="5:5">
      <c r="E305"/>
    </row>
    <row r="306" spans="5:5">
      <c r="E306"/>
    </row>
    <row r="307" spans="5:5">
      <c r="E307"/>
    </row>
    <row r="308" spans="5:5">
      <c r="E308"/>
    </row>
    <row r="309" spans="5:5">
      <c r="E309"/>
    </row>
    <row r="310" spans="5:5">
      <c r="E310"/>
    </row>
    <row r="311" spans="5:5">
      <c r="E311"/>
    </row>
    <row r="312" spans="5:5">
      <c r="E312"/>
    </row>
    <row r="313" spans="5:5">
      <c r="E313"/>
    </row>
    <row r="314" spans="5:5">
      <c r="E314"/>
    </row>
    <row r="315" spans="5:5">
      <c r="E315"/>
    </row>
    <row r="316" spans="5:5">
      <c r="E316"/>
    </row>
    <row r="317" spans="5:5">
      <c r="E317"/>
    </row>
    <row r="318" spans="5:5">
      <c r="E318"/>
    </row>
    <row r="319" spans="1:5">
      <c r="A319"/>
      <c r="E319"/>
    </row>
    <row r="320" spans="1:1">
      <c r="A320"/>
    </row>
    <row r="321" spans="1:1">
      <c r="A321"/>
    </row>
    <row r="322" spans="1:1">
      <c r="A322"/>
    </row>
    <row r="323" spans="1:1">
      <c r="A323"/>
    </row>
    <row r="324" spans="1:1">
      <c r="A324"/>
    </row>
    <row r="325" spans="1:1">
      <c r="A325"/>
    </row>
    <row r="326" spans="1:1">
      <c r="A326"/>
    </row>
    <row r="327" spans="1:1">
      <c r="A327"/>
    </row>
    <row r="328" spans="1:1">
      <c r="A328"/>
    </row>
  </sheetData>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F12"/>
  <sheetViews>
    <sheetView tabSelected="1" workbookViewId="0">
      <selection activeCell="Q40" sqref="Q40"/>
    </sheetView>
  </sheetViews>
  <sheetFormatPr defaultColWidth="8.72727272727273" defaultRowHeight="14" outlineLevelCol="5"/>
  <sheetData>
    <row r="12" ht="15" spans="6:6">
      <c r="F12" s="1"/>
    </row>
  </sheetData>
  <pageMargins left="0.7" right="0.7" top="0.75" bottom="0.75" header="0.3" footer="0.3"/>
  <pageSetup paperSize="9" orientation="portrait"/>
  <headerFooter/>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4</vt:i4>
      </vt:variant>
    </vt:vector>
  </HeadingPairs>
  <TitlesOfParts>
    <vt:vector size="4" baseType="lpstr">
      <vt:lpstr>源数据</vt:lpstr>
      <vt:lpstr>数据</vt:lpstr>
      <vt:lpstr>透视表</vt:lpstr>
      <vt:lpstr>可视化</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AutoBVT</dc:creator>
  <cp:lastModifiedBy>小呀</cp:lastModifiedBy>
  <dcterms:created xsi:type="dcterms:W3CDTF">2024-01-08T09:57:00Z</dcterms:created>
  <cp:lastPrinted>2024-01-14T16:17:00Z</cp:lastPrinted>
  <dcterms:modified xsi:type="dcterms:W3CDTF">2024-01-15T16:55:14Z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33A5344E1F7A4CC79D4AC9D414396C05_13</vt:lpwstr>
  </property>
  <property fmtid="{D5CDD505-2E9C-101B-9397-08002B2CF9AE}" pid="3" name="KSOProductBuildVer">
    <vt:lpwstr>2052-12.1.0.16250</vt:lpwstr>
  </property>
</Properties>
</file>